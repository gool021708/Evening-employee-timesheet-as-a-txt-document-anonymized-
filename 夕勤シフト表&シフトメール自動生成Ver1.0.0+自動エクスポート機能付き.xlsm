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gool0\Downloads\"/>
    </mc:Choice>
  </mc:AlternateContent>
  <xr:revisionPtr revIDLastSave="0" documentId="13_ncr:1_{C6B7BF9B-AFC0-47FC-994A-2A1854F3B469}" xr6:coauthVersionLast="47" xr6:coauthVersionMax="47" xr10:uidLastSave="{00000000-0000-0000-0000-000000000000}"/>
  <bookViews>
    <workbookView xWindow="-24630" yWindow="90" windowWidth="21600" windowHeight="15660" activeTab="2" xr2:uid="{75CF4C83-8DBC-4B80-BA0B-4DA123D18042}"/>
  </bookViews>
  <sheets>
    <sheet name="Sheet1" sheetId="1" r:id="rId1"/>
    <sheet name="Sheet2" sheetId="2" r:id="rId2"/>
    <sheet name="データ処理部" sheetId="4" r:id="rId3"/>
    <sheet name="db" sheetId="6" r:id="rId4"/>
    <sheet name="エラー訂正部" sheetId="12" state="hidden" r:id="rId5"/>
    <sheet name="デバッグ用データ" sheetId="3" r:id="rId6"/>
  </sheets>
  <definedNames>
    <definedName name="_xlnm._FilterDatabase" localSheetId="1" hidden="1">Sheet2!$B$1:$B$329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7" i="1" l="1"/>
  <c r="A14" i="4"/>
  <c r="B191" i="2" l="1" a="1"/>
  <c r="B191" i="2" s="1"/>
  <c r="B190" i="2" a="1"/>
  <c r="B190" i="2" s="1"/>
  <c r="B189" i="2" a="1"/>
  <c r="B189" i="2" s="1"/>
  <c r="B186" i="2" a="1"/>
  <c r="B186" i="2" s="1"/>
  <c r="B169" i="2" a="1"/>
  <c r="B169" i="2" s="1"/>
  <c r="B168" i="2" a="1"/>
  <c r="B168" i="2" s="1"/>
  <c r="B167" i="2" a="1"/>
  <c r="B167" i="2" s="1"/>
  <c r="B161" i="2" a="1"/>
  <c r="B161" i="2" s="1"/>
  <c r="B160" i="2" a="1"/>
  <c r="B160" i="2" s="1"/>
  <c r="B159" i="2" a="1"/>
  <c r="B159" i="2" s="1"/>
  <c r="B156" i="2" a="1"/>
  <c r="B156" i="2" s="1"/>
  <c r="B143" i="2" a="1"/>
  <c r="B143" i="2" s="1"/>
  <c r="B139" i="2" a="1"/>
  <c r="B139" i="2" s="1"/>
  <c r="B138" i="2" a="1"/>
  <c r="B138" i="2" s="1"/>
  <c r="B137" i="2" a="1"/>
  <c r="B137" i="2" s="1"/>
  <c r="B131" i="2" a="1"/>
  <c r="B131" i="2" s="1"/>
  <c r="B130" i="2" a="1"/>
  <c r="B130" i="2" s="1"/>
  <c r="B129" i="2" a="1"/>
  <c r="B129" i="2" s="1"/>
  <c r="B126" i="2" a="1"/>
  <c r="B126" i="2" s="1"/>
  <c r="B113" i="2" a="1"/>
  <c r="B113" i="2" s="1"/>
  <c r="B109" i="2" a="1"/>
  <c r="B109" i="2" s="1"/>
  <c r="B108" i="2" a="1"/>
  <c r="B108" i="2" s="1"/>
  <c r="B107" i="2" a="1"/>
  <c r="B107" i="2" s="1"/>
  <c r="B101" i="2" a="1"/>
  <c r="B101" i="2" s="1"/>
  <c r="B100" i="2" a="1"/>
  <c r="B100" i="2" s="1"/>
  <c r="B99" i="2" a="1"/>
  <c r="B99" i="2" s="1"/>
  <c r="B96" i="2" a="1"/>
  <c r="B96" i="2" s="1"/>
  <c r="B83" i="2" a="1"/>
  <c r="B83" i="2" s="1"/>
  <c r="B79" i="2" a="1"/>
  <c r="B79" i="2" s="1"/>
  <c r="B78" i="2" a="1"/>
  <c r="B78" i="2" s="1"/>
  <c r="B77" i="2" a="1"/>
  <c r="B77" i="2" s="1"/>
  <c r="B71" i="2" a="1"/>
  <c r="B71" i="2" s="1"/>
  <c r="B70" i="2" a="1"/>
  <c r="B70" i="2" s="1"/>
  <c r="B69" i="2" a="1"/>
  <c r="B69" i="2" s="1"/>
  <c r="B66" i="2" a="1"/>
  <c r="B66" i="2" s="1"/>
  <c r="B53" i="2" a="1"/>
  <c r="B53" i="2" s="1"/>
  <c r="B49" i="2" a="1"/>
  <c r="B49" i="2" s="1"/>
  <c r="B48" i="2" a="1"/>
  <c r="B48" i="2" s="1"/>
  <c r="B47" i="2" a="1"/>
  <c r="B47" i="2" s="1"/>
  <c r="B41" i="2" a="1"/>
  <c r="B41" i="2" s="1"/>
  <c r="B40" i="2" a="1"/>
  <c r="B40" i="2" s="1"/>
  <c r="B39" i="2" a="1"/>
  <c r="B39" i="2" s="1"/>
  <c r="B36" i="2" a="1"/>
  <c r="B36" i="2" s="1"/>
  <c r="B23" i="2" a="1"/>
  <c r="B23" i="2" s="1"/>
  <c r="B19" i="2" a="1"/>
  <c r="B19" i="2" s="1"/>
  <c r="B18" i="2" a="1"/>
  <c r="B18" i="2" s="1"/>
  <c r="B17" i="2" a="1"/>
  <c r="B17" i="2" s="1"/>
  <c r="B11" i="2" a="1"/>
  <c r="B11" i="2" s="1"/>
  <c r="B10" i="2" a="1"/>
  <c r="B10" i="2" s="1"/>
  <c r="B9" i="2" a="1"/>
  <c r="B9" i="2" s="1"/>
  <c r="B6" i="2" a="1"/>
  <c r="B6" i="2" s="1"/>
  <c r="K24" i="1"/>
  <c r="K25" i="1"/>
  <c r="K26" i="1"/>
  <c r="K27" i="1"/>
  <c r="K28" i="1"/>
  <c r="K29" i="1"/>
  <c r="K30" i="1"/>
  <c r="K31" i="1"/>
  <c r="K32" i="1"/>
  <c r="K33" i="1"/>
  <c r="K34" i="1"/>
  <c r="K35" i="1"/>
  <c r="K36" i="1"/>
  <c r="K37" i="1"/>
  <c r="K38" i="1"/>
  <c r="K39" i="1"/>
  <c r="K40" i="1"/>
  <c r="K23" i="1"/>
  <c r="C18" i="1"/>
  <c r="C19" i="1"/>
  <c r="C20" i="1"/>
  <c r="C21" i="1"/>
  <c r="C22" i="1"/>
  <c r="B15" i="1"/>
  <c r="B165" i="2"/>
  <c r="B135" i="2"/>
  <c r="B105" i="2"/>
  <c r="B75" i="2"/>
  <c r="B45" i="2"/>
  <c r="B15" i="2"/>
  <c r="F195" i="2"/>
  <c r="D195" i="2"/>
  <c r="B195" i="2"/>
  <c r="C75" i="2" a="1"/>
  <c r="C155" i="2" a="1"/>
  <c r="C60" i="2" a="1"/>
  <c r="D23" i="2" a="1"/>
  <c r="C28" i="2" a="1"/>
  <c r="C9" i="2" a="1"/>
  <c r="D69" i="2" a="1"/>
  <c r="C16" i="2" a="1"/>
  <c r="C69" i="2" a="1"/>
  <c r="D40" i="2" a="1"/>
  <c r="D167" i="2" a="1"/>
  <c r="C123" i="2" a="1"/>
  <c r="C186" i="2" a="1"/>
  <c r="C85" i="2" a="1"/>
  <c r="E49" i="2" a="1"/>
  <c r="C114" i="2" a="1"/>
  <c r="C82" i="2" a="1"/>
  <c r="D160" i="2" a="1"/>
  <c r="C144" i="2" a="1"/>
  <c r="C110" i="2" a="1"/>
  <c r="C178" i="2" a="1"/>
  <c r="D107" i="2" a="1"/>
  <c r="C173" i="2" a="1"/>
  <c r="C152" i="2" a="1"/>
  <c r="C86" i="2" a="1"/>
  <c r="E19" i="2" a="1"/>
  <c r="E39" i="2" a="1"/>
  <c r="C73" i="2" a="1"/>
  <c r="C160" i="2" a="1"/>
  <c r="E139" i="2" a="1"/>
  <c r="C90" i="2" a="1"/>
  <c r="C113" i="2" a="1"/>
  <c r="D18" i="2" a="1"/>
  <c r="D130" i="2" a="1"/>
  <c r="C172" i="2" a="1"/>
  <c r="C175" i="2" a="1"/>
  <c r="C192" i="2" a="1"/>
  <c r="C168" i="2" a="1"/>
  <c r="C159" i="2" a="1"/>
  <c r="D109" i="2" a="1"/>
  <c r="D143" i="2" a="1"/>
  <c r="C47" i="2" a="1"/>
  <c r="C142" i="2" a="1"/>
  <c r="D138" i="2" a="1"/>
  <c r="D169" i="2" a="1"/>
  <c r="C39" i="2" a="1"/>
  <c r="C24" i="2" a="1"/>
  <c r="D9" i="2" a="1"/>
  <c r="C111" i="2" a="1"/>
  <c r="C30" i="2" a="1"/>
  <c r="C145" i="2" a="1"/>
  <c r="C140" i="2" a="1"/>
  <c r="C174" i="2" a="1"/>
  <c r="C10" i="2" a="1"/>
  <c r="C117" i="2" a="1"/>
  <c r="D53" i="2" a="1"/>
  <c r="C29" i="2" a="1"/>
  <c r="C122" i="2" a="1"/>
  <c r="C76" i="2" a="1"/>
  <c r="C81" i="2" a="1"/>
  <c r="D49" i="2" a="1"/>
  <c r="C49" i="2" a="1"/>
  <c r="C21" i="2" a="1"/>
  <c r="D79" i="2" a="1"/>
  <c r="C161" i="2" a="1"/>
  <c r="C135" i="2" a="1"/>
  <c r="C68" i="2" a="1"/>
  <c r="C157" i="2" a="1"/>
  <c r="C131" i="2" a="1"/>
  <c r="C19" i="2" a="1"/>
  <c r="D168" i="2" a="1"/>
  <c r="D78" i="2" a="1"/>
  <c r="C50" i="2" a="1"/>
  <c r="C97" i="2" a="1"/>
  <c r="D191" i="2" a="1"/>
  <c r="C176" i="2" a="1"/>
  <c r="C190" i="2" a="1"/>
  <c r="D161" i="2" a="1"/>
  <c r="C128" i="2" a="1"/>
  <c r="C71" i="2" a="1"/>
  <c r="C162" i="2" a="1"/>
  <c r="C124" i="2" a="1"/>
  <c r="C59" i="2" a="1"/>
  <c r="C158" i="2" a="1"/>
  <c r="D108" i="2" a="1"/>
  <c r="D10" i="2" a="1"/>
  <c r="C56" i="2" a="1"/>
  <c r="C45" i="2" a="1"/>
  <c r="D6" i="2" a="1"/>
  <c r="E129" i="2" a="1"/>
  <c r="C165" i="2" a="1"/>
  <c r="C139" i="2" a="1"/>
  <c r="C65" i="2" a="1"/>
  <c r="D96" i="2" a="1"/>
  <c r="C95" i="2" a="1"/>
  <c r="C58" i="2" a="1"/>
  <c r="C129" i="2" a="1"/>
  <c r="C88" i="2" a="1"/>
  <c r="C46" i="2" a="1"/>
  <c r="C125" i="2" a="1"/>
  <c r="D71" i="2" a="1"/>
  <c r="C188" i="2" a="1"/>
  <c r="C164" i="2" a="1"/>
  <c r="C138" i="2" a="1"/>
  <c r="D99" i="2" a="1"/>
  <c r="C184" i="2" a="1"/>
  <c r="C118" i="2" a="1"/>
  <c r="C149" i="2" a="1"/>
  <c r="E169" i="2" a="1"/>
  <c r="C26" i="2" a="1"/>
  <c r="C130" i="2" a="1"/>
  <c r="D77" i="2" a="1"/>
  <c r="E160" i="2" a="1"/>
  <c r="C98" i="2" a="1"/>
  <c r="C167" i="2" a="1"/>
  <c r="C41" i="2" a="1"/>
  <c r="C169" i="2" a="1"/>
  <c r="C143" i="2" a="1"/>
  <c r="C42" i="2" a="1"/>
  <c r="E9" i="2" a="1"/>
  <c r="C103" i="2" a="1"/>
  <c r="C14" i="2" a="1"/>
  <c r="C137" i="2" a="1"/>
  <c r="E130" i="2" a="1"/>
  <c r="C102" i="2" a="1"/>
  <c r="E100" i="2" a="1"/>
  <c r="C112" i="2" a="1"/>
  <c r="C107" i="2" a="1"/>
  <c r="C22" i="2" a="1"/>
  <c r="C141" i="2" a="1"/>
  <c r="D101" i="2" a="1"/>
  <c r="C38" i="2" a="1"/>
  <c r="C185" i="2" a="1"/>
  <c r="C106" i="2" a="1"/>
  <c r="C171" i="2" a="1"/>
  <c r="C57" i="2" a="1"/>
  <c r="C72" i="2" a="1"/>
  <c r="C53" i="2" a="1"/>
  <c r="C108" i="2" a="1"/>
  <c r="D159" i="2" a="1"/>
  <c r="C132" i="2" a="1"/>
  <c r="C83" i="2" a="1"/>
  <c r="C166" i="2" a="1"/>
  <c r="D48" i="2" a="1"/>
  <c r="C40" i="2" a="1"/>
  <c r="C48" i="2" a="1"/>
  <c r="C96" i="2" a="1"/>
  <c r="C147" i="2" a="1"/>
  <c r="C15" i="2" a="1"/>
  <c r="C89" i="2" a="1"/>
  <c r="D66" i="2" a="1"/>
  <c r="C153" i="2" a="1"/>
  <c r="C127" i="2" a="1"/>
  <c r="C189" i="2" a="1"/>
  <c r="D156" i="2" a="1"/>
  <c r="C148" i="2" a="1"/>
  <c r="C43" i="2" a="1"/>
  <c r="C116" i="2" a="1"/>
  <c r="D41" i="2" a="1"/>
  <c r="C17" i="2" a="1"/>
  <c r="C70" i="2" a="1"/>
  <c r="D126" i="2" a="1"/>
  <c r="D137" i="2" a="1"/>
  <c r="C18" i="2" a="1"/>
  <c r="C126" i="2" a="1"/>
  <c r="E70" i="2" a="1"/>
  <c r="C136" i="2" a="1"/>
  <c r="C94" i="2" a="1"/>
  <c r="C170" i="2" a="1"/>
  <c r="D83" i="2" a="1"/>
  <c r="C119" i="2" a="1"/>
  <c r="C51" i="2" a="1"/>
  <c r="C154" i="2" a="1"/>
  <c r="D189" i="2" a="1"/>
  <c r="C115" i="2" a="1"/>
  <c r="C13" i="2" a="1"/>
  <c r="C77" i="2" a="1"/>
  <c r="D100" i="2" a="1"/>
  <c r="C191" i="2" a="1"/>
  <c r="C8" i="2" a="1"/>
  <c r="D47" i="2" a="1"/>
  <c r="C5" i="2" a="1"/>
  <c r="C54" i="2" a="1"/>
  <c r="E109" i="2" a="1"/>
  <c r="C104" i="2" a="1"/>
  <c r="C87" i="2" a="1"/>
  <c r="C163" i="2" a="1"/>
  <c r="C20" i="2" a="1"/>
  <c r="E159" i="2" a="1"/>
  <c r="D70" i="2" a="1"/>
  <c r="E99" i="2" a="1"/>
  <c r="C23" i="2" a="1"/>
  <c r="E189" i="2" a="1"/>
  <c r="C99" i="2" a="1"/>
  <c r="C78" i="2" a="1"/>
  <c r="C133" i="2" a="1"/>
  <c r="D113" i="2" a="1"/>
  <c r="C67" i="2" a="1"/>
  <c r="C150" i="2" a="1"/>
  <c r="C27" i="2" a="1"/>
  <c r="C55" i="2" a="1"/>
  <c r="C146" i="2" a="1"/>
  <c r="D186" i="2" a="1"/>
  <c r="D190" i="2" a="1"/>
  <c r="E190" i="2" a="1"/>
  <c r="E79" i="2" a="1"/>
  <c r="D19" i="2" a="1"/>
  <c r="C11" i="2" a="1"/>
  <c r="C12" i="2" a="1"/>
  <c r="C100" i="2" a="1"/>
  <c r="D129" i="2" a="1"/>
  <c r="C74" i="2" a="1"/>
  <c r="C109" i="2" a="1"/>
  <c r="D11" i="2" a="1"/>
  <c r="C66" i="2" a="1"/>
  <c r="C101" i="2" a="1"/>
  <c r="E69" i="2" a="1"/>
  <c r="E10" i="2" a="1"/>
  <c r="C84" i="2" a="1"/>
  <c r="C25" i="2" a="1"/>
  <c r="C120" i="2" a="1"/>
  <c r="D17" i="2" a="1"/>
  <c r="C80" i="2" a="1"/>
  <c r="C134" i="2" a="1"/>
  <c r="D131" i="2" a="1"/>
  <c r="C177" i="2" a="1"/>
  <c r="C156" i="2" a="1"/>
  <c r="C105" i="2" a="1"/>
  <c r="D36" i="2" a="1"/>
  <c r="D39" i="2" a="1"/>
  <c r="C187" i="2" a="1"/>
  <c r="C52" i="2" a="1"/>
  <c r="E40" i="2" a="1"/>
  <c r="C44" i="2" a="1"/>
  <c r="C37" i="2" a="1"/>
  <c r="D139" i="2" a="1"/>
  <c r="C180" i="2" a="1"/>
  <c r="C27" i="2" l="1"/>
  <c r="C60" i="2"/>
  <c r="C20" i="2"/>
  <c r="C41" i="2"/>
  <c r="C57" i="2"/>
  <c r="C77" i="2"/>
  <c r="C85" i="2"/>
  <c r="C89" i="2"/>
  <c r="C96" i="2"/>
  <c r="C100" i="2"/>
  <c r="C104" i="2"/>
  <c r="C108" i="2"/>
  <c r="C112" i="2"/>
  <c r="C116" i="2"/>
  <c r="C120" i="2"/>
  <c r="C125" i="2"/>
  <c r="C129" i="2"/>
  <c r="C133" i="2"/>
  <c r="C137" i="2"/>
  <c r="C141" i="2"/>
  <c r="C145" i="2"/>
  <c r="C149" i="2"/>
  <c r="C154" i="2"/>
  <c r="C158" i="2"/>
  <c r="C162" i="2"/>
  <c r="C166" i="2"/>
  <c r="C170" i="2"/>
  <c r="C174" i="2"/>
  <c r="C178" i="2"/>
  <c r="C185" i="2"/>
  <c r="C189" i="2"/>
  <c r="C19" i="2"/>
  <c r="C68" i="2"/>
  <c r="C65" i="2"/>
  <c r="C42" i="2"/>
  <c r="C86" i="2"/>
  <c r="C105" i="2"/>
  <c r="C122" i="2"/>
  <c r="C138" i="2"/>
  <c r="C159" i="2"/>
  <c r="C175" i="2"/>
  <c r="C190" i="2"/>
  <c r="C23" i="2"/>
  <c r="C52" i="2"/>
  <c r="C8" i="2"/>
  <c r="C24" i="2"/>
  <c r="C45" i="2"/>
  <c r="C69" i="2"/>
  <c r="C9" i="2"/>
  <c r="C21" i="2"/>
  <c r="C38" i="2"/>
  <c r="C54" i="2"/>
  <c r="C70" i="2"/>
  <c r="C82" i="2"/>
  <c r="C97" i="2"/>
  <c r="C101" i="2"/>
  <c r="C109" i="2"/>
  <c r="C113" i="2"/>
  <c r="C117" i="2"/>
  <c r="C126" i="2"/>
  <c r="C130" i="2"/>
  <c r="C134" i="2"/>
  <c r="C142" i="2"/>
  <c r="C146" i="2"/>
  <c r="C150" i="2"/>
  <c r="C155" i="2"/>
  <c r="C163" i="2"/>
  <c r="C167" i="2"/>
  <c r="C171" i="2"/>
  <c r="C186" i="2"/>
  <c r="C15" i="2"/>
  <c r="C48" i="2"/>
  <c r="C12" i="2"/>
  <c r="C37" i="2"/>
  <c r="C53" i="2"/>
  <c r="C81" i="2"/>
  <c r="C13" i="2"/>
  <c r="C25" i="2"/>
  <c r="C46" i="2"/>
  <c r="C58" i="2"/>
  <c r="C78" i="2"/>
  <c r="C14" i="2"/>
  <c r="C22" i="2"/>
  <c r="C30" i="2"/>
  <c r="C43" i="2"/>
  <c r="C51" i="2"/>
  <c r="C59" i="2"/>
  <c r="C71" i="2"/>
  <c r="C83" i="2"/>
  <c r="C94" i="2"/>
  <c r="C102" i="2"/>
  <c r="C110" i="2"/>
  <c r="C118" i="2"/>
  <c r="C127" i="2"/>
  <c r="C131" i="2"/>
  <c r="C135" i="2"/>
  <c r="C139" i="2"/>
  <c r="C143" i="2"/>
  <c r="C152" i="2"/>
  <c r="C156" i="2"/>
  <c r="C160" i="2"/>
  <c r="C164" i="2"/>
  <c r="C168" i="2"/>
  <c r="C172" i="2"/>
  <c r="C176" i="2"/>
  <c r="C180" i="2"/>
  <c r="C187" i="2"/>
  <c r="C191" i="2"/>
  <c r="C56" i="2"/>
  <c r="C16" i="2"/>
  <c r="C28" i="2"/>
  <c r="C49" i="2"/>
  <c r="C73" i="2"/>
  <c r="C5" i="2"/>
  <c r="C17" i="2"/>
  <c r="C29" i="2"/>
  <c r="C50" i="2"/>
  <c r="C66" i="2"/>
  <c r="C74" i="2"/>
  <c r="C90" i="2"/>
  <c r="C10" i="2"/>
  <c r="C18" i="2"/>
  <c r="C26" i="2"/>
  <c r="C39" i="2"/>
  <c r="C47" i="2"/>
  <c r="C55" i="2"/>
  <c r="C67" i="2"/>
  <c r="C75" i="2"/>
  <c r="C87" i="2"/>
  <c r="C98" i="2"/>
  <c r="C106" i="2"/>
  <c r="C114" i="2"/>
  <c r="C123" i="2"/>
  <c r="C147" i="2"/>
  <c r="C40" i="2"/>
  <c r="C11" i="2"/>
  <c r="C44" i="2"/>
  <c r="C72" i="2"/>
  <c r="C76" i="2"/>
  <c r="C80" i="2"/>
  <c r="C84" i="2"/>
  <c r="C88" i="2"/>
  <c r="C95" i="2"/>
  <c r="C99" i="2"/>
  <c r="C103" i="2"/>
  <c r="C107" i="2"/>
  <c r="C111" i="2"/>
  <c r="C115" i="2"/>
  <c r="C119" i="2"/>
  <c r="C124" i="2"/>
  <c r="C128" i="2"/>
  <c r="C132" i="2"/>
  <c r="C136" i="2"/>
  <c r="C140" i="2"/>
  <c r="C144" i="2"/>
  <c r="C148" i="2"/>
  <c r="C153" i="2"/>
  <c r="C157" i="2"/>
  <c r="C161" i="2"/>
  <c r="C165" i="2"/>
  <c r="C169" i="2"/>
  <c r="C173" i="2"/>
  <c r="C177" i="2"/>
  <c r="C184" i="2"/>
  <c r="C188" i="2"/>
  <c r="C192" i="2"/>
  <c r="D130" i="2"/>
  <c r="D143" i="2"/>
  <c r="D159" i="2"/>
  <c r="E160" i="2"/>
  <c r="D167" i="2"/>
  <c r="D169" i="2"/>
  <c r="D190" i="2"/>
  <c r="D10" i="2"/>
  <c r="D23" i="2"/>
  <c r="E79" i="2"/>
  <c r="D101" i="2"/>
  <c r="D19" i="2"/>
  <c r="E39" i="2"/>
  <c r="E49" i="2"/>
  <c r="D66" i="2"/>
  <c r="D100" i="2"/>
  <c r="D129" i="2"/>
  <c r="D139" i="2"/>
  <c r="E190" i="2"/>
  <c r="D49" i="2"/>
  <c r="E10" i="2"/>
  <c r="D17" i="2"/>
  <c r="D71" i="2"/>
  <c r="D78" i="2"/>
  <c r="D113" i="2"/>
  <c r="E130" i="2"/>
  <c r="D137" i="2"/>
  <c r="E159" i="2"/>
  <c r="E169" i="2"/>
  <c r="A169" i="2" s="1"/>
  <c r="D189" i="2"/>
  <c r="D108" i="2"/>
  <c r="D41" i="2"/>
  <c r="D48" i="2"/>
  <c r="D83" i="2"/>
  <c r="E100" i="2"/>
  <c r="D107" i="2"/>
  <c r="E139" i="2"/>
  <c r="D156" i="2"/>
  <c r="D168" i="2"/>
  <c r="D39" i="2"/>
  <c r="D96" i="2"/>
  <c r="E9" i="2"/>
  <c r="E19" i="2"/>
  <c r="D36" i="2"/>
  <c r="D70" i="2"/>
  <c r="D99" i="2"/>
  <c r="D109" i="2"/>
  <c r="E129" i="2"/>
  <c r="D161" i="2"/>
  <c r="E189" i="2"/>
  <c r="E40" i="2"/>
  <c r="D47" i="2"/>
  <c r="D9" i="2"/>
  <c r="D6" i="2"/>
  <c r="D40" i="2"/>
  <c r="D69" i="2"/>
  <c r="D79" i="2"/>
  <c r="E99" i="2"/>
  <c r="E109" i="2"/>
  <c r="D126" i="2"/>
  <c r="D160" i="2"/>
  <c r="D191" i="2"/>
  <c r="E69" i="2"/>
  <c r="D11" i="2"/>
  <c r="D18" i="2"/>
  <c r="D53" i="2"/>
  <c r="E70" i="2"/>
  <c r="D77" i="2"/>
  <c r="D131" i="2"/>
  <c r="D138" i="2"/>
  <c r="D186" i="2"/>
  <c r="D9" i="12"/>
  <c r="E9" i="12"/>
  <c r="F9" i="12"/>
  <c r="G9" i="12"/>
  <c r="H9" i="12"/>
  <c r="I9" i="12"/>
  <c r="D10" i="12"/>
  <c r="E10" i="12"/>
  <c r="F10" i="12"/>
  <c r="G10" i="12"/>
  <c r="H10" i="12"/>
  <c r="I10" i="12"/>
  <c r="D11" i="12"/>
  <c r="E11" i="12"/>
  <c r="F11" i="12"/>
  <c r="G11" i="12"/>
  <c r="H11" i="12"/>
  <c r="I11" i="12"/>
  <c r="E8" i="12"/>
  <c r="F8" i="12"/>
  <c r="G8" i="12"/>
  <c r="H8" i="12"/>
  <c r="I8" i="12"/>
  <c r="D8" i="12"/>
  <c r="C6" i="2" a="1"/>
  <c r="C79" i="2" a="1"/>
  <c r="C36" i="2" a="1"/>
  <c r="A6" i="2" a="1"/>
  <c r="C36" i="2" l="1"/>
  <c r="C6" i="2"/>
  <c r="A6" i="2"/>
  <c r="C79" i="2"/>
  <c r="E6" i="12"/>
  <c r="F6" i="12"/>
  <c r="G6" i="12"/>
  <c r="H6" i="12"/>
  <c r="I6" i="12"/>
  <c r="J6" i="12"/>
  <c r="E5" i="12"/>
  <c r="F5" i="12"/>
  <c r="G5" i="12"/>
  <c r="H5" i="12"/>
  <c r="I5" i="12"/>
  <c r="J5" i="12"/>
  <c r="E4" i="12"/>
  <c r="F4" i="12"/>
  <c r="G4" i="12"/>
  <c r="H4" i="12"/>
  <c r="I4" i="12"/>
  <c r="J4" i="12"/>
  <c r="E3" i="12"/>
  <c r="F3" i="12"/>
  <c r="G3" i="12"/>
  <c r="H3" i="12"/>
  <c r="I3" i="12"/>
  <c r="J3" i="12"/>
  <c r="E7" i="4"/>
  <c r="F7" i="4"/>
  <c r="G7" i="4"/>
  <c r="H7" i="4"/>
  <c r="A3" i="6"/>
  <c r="A4" i="6"/>
  <c r="A5" i="6"/>
  <c r="A6" i="6"/>
  <c r="A7" i="6"/>
  <c r="A8" i="6"/>
  <c r="A9" i="6"/>
  <c r="A10" i="6"/>
  <c r="A11" i="6"/>
  <c r="A12" i="6"/>
  <c r="A13" i="6"/>
  <c r="A14" i="6"/>
  <c r="A15" i="6"/>
  <c r="A16" i="6"/>
  <c r="A17" i="6"/>
  <c r="A18" i="6"/>
  <c r="A19" i="6"/>
  <c r="A20" i="6"/>
  <c r="A21" i="6"/>
  <c r="A22" i="6"/>
  <c r="A23" i="6"/>
  <c r="A24" i="6"/>
  <c r="A25" i="6"/>
  <c r="A26" i="6"/>
  <c r="A27" i="6"/>
  <c r="A28" i="6"/>
  <c r="A29" i="6"/>
  <c r="A30" i="6"/>
  <c r="A31" i="6"/>
  <c r="A32" i="6"/>
  <c r="A33" i="6"/>
  <c r="A34" i="6"/>
  <c r="A35" i="6"/>
  <c r="A36" i="6"/>
  <c r="A37" i="6"/>
  <c r="A38" i="6"/>
  <c r="A39" i="6"/>
  <c r="A40" i="6"/>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2" i="6"/>
  <c r="B188" i="2"/>
  <c r="B187" i="2"/>
  <c r="B185" i="2" l="1"/>
  <c r="A191" i="2"/>
  <c r="J191" i="2" s="1"/>
  <c r="A190" i="2"/>
  <c r="J190" i="2" s="1"/>
  <c r="A189" i="2"/>
  <c r="J189" i="2" s="1"/>
  <c r="A186" i="2"/>
  <c r="J186" i="2" s="1"/>
  <c r="B179" i="2"/>
  <c r="J169" i="2"/>
  <c r="A168" i="2"/>
  <c r="J168" i="2" s="1"/>
  <c r="A167" i="2"/>
  <c r="J167" i="2" s="1"/>
  <c r="B166" i="2"/>
  <c r="B158" i="2"/>
  <c r="B157" i="2"/>
  <c r="C179" i="2" a="1"/>
  <c r="C179" i="2" l="1"/>
  <c r="B155" i="2"/>
  <c r="A161" i="2"/>
  <c r="J161" i="2" s="1"/>
  <c r="A160" i="2"/>
  <c r="J160" i="2" s="1"/>
  <c r="A159" i="2"/>
  <c r="J159" i="2" s="1"/>
  <c r="A156" i="2"/>
  <c r="J156" i="2" s="1"/>
  <c r="A129" i="2" l="1"/>
  <c r="J129" i="2" s="1"/>
  <c r="B149" i="2"/>
  <c r="B146" i="2"/>
  <c r="B142" i="2"/>
  <c r="B136" i="2"/>
  <c r="B134" i="2"/>
  <c r="B44" i="2"/>
  <c r="B128" i="2"/>
  <c r="B127" i="2"/>
  <c r="B125" i="2"/>
  <c r="A143" i="2"/>
  <c r="J143" i="2" s="1"/>
  <c r="A139" i="2"/>
  <c r="J139" i="2" s="1"/>
  <c r="A138" i="2"/>
  <c r="J138" i="2" s="1"/>
  <c r="A137" i="2"/>
  <c r="J137" i="2" s="1"/>
  <c r="A131" i="2"/>
  <c r="J131" i="2" s="1"/>
  <c r="A130" i="2"/>
  <c r="J130" i="2" s="1"/>
  <c r="A126" i="2"/>
  <c r="J126" i="2" s="1"/>
  <c r="B119" i="2" l="1"/>
  <c r="B116" i="2"/>
  <c r="B112" i="2"/>
  <c r="B82" i="2"/>
  <c r="B106" i="2"/>
  <c r="B104" i="2"/>
  <c r="B98" i="2"/>
  <c r="B97" i="2"/>
  <c r="B95" i="2"/>
  <c r="A113" i="2" l="1"/>
  <c r="A109" i="2"/>
  <c r="A108" i="2"/>
  <c r="A107" i="2"/>
  <c r="A101" i="2"/>
  <c r="A100" i="2"/>
  <c r="A99" i="2"/>
  <c r="A96" i="2"/>
  <c r="Z96" i="2" s="1"/>
  <c r="Z92" i="2"/>
  <c r="Z94" i="2"/>
  <c r="Z95" i="2"/>
  <c r="Z97" i="2"/>
  <c r="Z98" i="2"/>
  <c r="Z102" i="2"/>
  <c r="Z103" i="2"/>
  <c r="Z104" i="2"/>
  <c r="Z105" i="2"/>
  <c r="Z106" i="2"/>
  <c r="Z110" i="2"/>
  <c r="Z111" i="2"/>
  <c r="Z112" i="2"/>
  <c r="Z114" i="2"/>
  <c r="Z115" i="2"/>
  <c r="Z116" i="2"/>
  <c r="Z117" i="2"/>
  <c r="Z118" i="2"/>
  <c r="Z119" i="2"/>
  <c r="Z120" i="2"/>
  <c r="Z121" i="2"/>
  <c r="Z122"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4" i="2"/>
  <c r="Z155" i="2"/>
  <c r="Z156" i="2"/>
  <c r="Z157" i="2"/>
  <c r="Z158" i="2"/>
  <c r="Z159" i="2"/>
  <c r="Z160" i="2"/>
  <c r="Z161" i="2"/>
  <c r="Z162" i="2"/>
  <c r="Z163" i="2"/>
  <c r="Z165" i="2"/>
  <c r="Z166" i="2"/>
  <c r="Z167" i="2"/>
  <c r="Z168" i="2"/>
  <c r="Z169" i="2"/>
  <c r="Z170" i="2"/>
  <c r="Z171" i="2"/>
  <c r="Z172" i="2"/>
  <c r="Z173" i="2"/>
  <c r="Z174" i="2"/>
  <c r="Z175" i="2"/>
  <c r="Z176" i="2"/>
  <c r="Z177" i="2"/>
  <c r="Z178" i="2"/>
  <c r="Z179" i="2"/>
  <c r="Z180" i="2"/>
  <c r="Z181" i="2"/>
  <c r="Z182"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1" i="2"/>
  <c r="Z2" i="2"/>
  <c r="Z4" i="2"/>
  <c r="Z5" i="2"/>
  <c r="Z7" i="2"/>
  <c r="Z8" i="2"/>
  <c r="Z12" i="2"/>
  <c r="Z13" i="2"/>
  <c r="Z14" i="2"/>
  <c r="Z15" i="2"/>
  <c r="Z16" i="2"/>
  <c r="Z20" i="2"/>
  <c r="Z21" i="2"/>
  <c r="Z22" i="2"/>
  <c r="Z24" i="2"/>
  <c r="Z25" i="2"/>
  <c r="Z26" i="2"/>
  <c r="Z27" i="2"/>
  <c r="Z28" i="2"/>
  <c r="Z29" i="2"/>
  <c r="Z30" i="2"/>
  <c r="Z31" i="2"/>
  <c r="Z32" i="2"/>
  <c r="Z34" i="2"/>
  <c r="Z35" i="2"/>
  <c r="Z37" i="2"/>
  <c r="Z38" i="2"/>
  <c r="Z42" i="2"/>
  <c r="Z43" i="2"/>
  <c r="Z44" i="2"/>
  <c r="Z45" i="2"/>
  <c r="Z46" i="2"/>
  <c r="Z50" i="2"/>
  <c r="Z51" i="2"/>
  <c r="Z52" i="2"/>
  <c r="Z54" i="2"/>
  <c r="Z55" i="2"/>
  <c r="Z56" i="2"/>
  <c r="Z57" i="2"/>
  <c r="Z58" i="2"/>
  <c r="Z59" i="2"/>
  <c r="Z60" i="2"/>
  <c r="Z61" i="2"/>
  <c r="Z62" i="2"/>
  <c r="Z64" i="2"/>
  <c r="Z65" i="2"/>
  <c r="Z67" i="2"/>
  <c r="Z68" i="2"/>
  <c r="Z72" i="2"/>
  <c r="Z73" i="2"/>
  <c r="Z74" i="2"/>
  <c r="Z75" i="2"/>
  <c r="Z76" i="2"/>
  <c r="Z80" i="2"/>
  <c r="Z81" i="2"/>
  <c r="Z82" i="2"/>
  <c r="Z84" i="2"/>
  <c r="Z85" i="2"/>
  <c r="Z86" i="2"/>
  <c r="Z87" i="2"/>
  <c r="Z88" i="2"/>
  <c r="Z89" i="2"/>
  <c r="Z90" i="2"/>
  <c r="Z91" i="2"/>
  <c r="A24" i="1"/>
  <c r="A25" i="1"/>
  <c r="A26" i="1"/>
  <c r="A27" i="1"/>
  <c r="A28" i="1"/>
  <c r="A29" i="1"/>
  <c r="A30" i="1"/>
  <c r="A31" i="1"/>
  <c r="A32" i="1"/>
  <c r="A33" i="1"/>
  <c r="A34" i="1"/>
  <c r="A35" i="1"/>
  <c r="A36" i="1"/>
  <c r="A37" i="1"/>
  <c r="A38" i="1"/>
  <c r="A39" i="1"/>
  <c r="A40" i="1"/>
  <c r="A23" i="1"/>
  <c r="AG2" i="6"/>
  <c r="B89" i="2"/>
  <c r="B86" i="2"/>
  <c r="B76" i="2"/>
  <c r="B74" i="2"/>
  <c r="J108" i="2" l="1"/>
  <c r="Z108" i="2"/>
  <c r="J99" i="2"/>
  <c r="Z99" i="2"/>
  <c r="J96" i="2"/>
  <c r="J109" i="2"/>
  <c r="Z109" i="2"/>
  <c r="J113" i="2"/>
  <c r="Z113" i="2"/>
  <c r="J101" i="2"/>
  <c r="Z101" i="2"/>
  <c r="J100" i="2"/>
  <c r="Z100" i="2"/>
  <c r="Z107" i="2"/>
  <c r="J107" i="2"/>
  <c r="B68" i="2" l="1"/>
  <c r="B67" i="2"/>
  <c r="B65" i="2" l="1"/>
  <c r="A83" i="2"/>
  <c r="A79" i="2"/>
  <c r="A78" i="2"/>
  <c r="A77" i="2"/>
  <c r="A71" i="2"/>
  <c r="A70" i="2"/>
  <c r="A69" i="2"/>
  <c r="A66" i="2"/>
  <c r="B8" i="2"/>
  <c r="J70" i="2" l="1"/>
  <c r="Z70" i="2"/>
  <c r="J69" i="2"/>
  <c r="Z69" i="2"/>
  <c r="J71" i="2"/>
  <c r="Z71" i="2"/>
  <c r="J78" i="2"/>
  <c r="Z78" i="2"/>
  <c r="J79" i="2"/>
  <c r="Z79" i="2"/>
  <c r="J83" i="2"/>
  <c r="Z83" i="2"/>
  <c r="J77" i="2"/>
  <c r="Z77" i="2"/>
  <c r="J66" i="2"/>
  <c r="Z66" i="2"/>
  <c r="D6" i="12" l="1"/>
  <c r="D5" i="12"/>
  <c r="D4" i="12"/>
  <c r="D3" i="12"/>
  <c r="AG3" i="6"/>
  <c r="AG4" i="6"/>
  <c r="AG5" i="6"/>
  <c r="AG6" i="6"/>
  <c r="AG7" i="6"/>
  <c r="AG8" i="6"/>
  <c r="AG9" i="6"/>
  <c r="AG10" i="6"/>
  <c r="AG11" i="6"/>
  <c r="AG12" i="6"/>
  <c r="AG13" i="6"/>
  <c r="AG14" i="6"/>
  <c r="AG15" i="6"/>
  <c r="AG16" i="6"/>
  <c r="AG17" i="6"/>
  <c r="AG18" i="6"/>
  <c r="AG19" i="6"/>
  <c r="AG20" i="6"/>
  <c r="AG21" i="6"/>
  <c r="AG22" i="6"/>
  <c r="AG23" i="6"/>
  <c r="AG24" i="6"/>
  <c r="AG25" i="6"/>
  <c r="A40" i="12"/>
  <c r="N40" i="12" s="1"/>
  <c r="N39" i="12"/>
  <c r="A39" i="12"/>
  <c r="A38" i="12"/>
  <c r="N38" i="12" s="1"/>
  <c r="N37" i="12"/>
  <c r="A37" i="12"/>
  <c r="A36" i="12"/>
  <c r="N36" i="12" s="1"/>
  <c r="N35" i="12"/>
  <c r="A35" i="12"/>
  <c r="A34" i="12"/>
  <c r="N34" i="12" s="1"/>
  <c r="N33" i="12"/>
  <c r="A33" i="12"/>
  <c r="A32" i="12"/>
  <c r="N32" i="12" s="1"/>
  <c r="N31" i="12"/>
  <c r="A31" i="12"/>
  <c r="A30" i="12"/>
  <c r="N30" i="12" s="1"/>
  <c r="N29" i="12"/>
  <c r="A29" i="12"/>
  <c r="A28" i="12"/>
  <c r="N28" i="12" s="1"/>
  <c r="N27" i="12"/>
  <c r="A27" i="12"/>
  <c r="A26" i="12"/>
  <c r="N26" i="12" s="1"/>
  <c r="N25" i="12"/>
  <c r="A25" i="12"/>
  <c r="A24" i="12"/>
  <c r="N24" i="12" s="1"/>
  <c r="N23" i="12"/>
  <c r="B22" i="12"/>
  <c r="B21" i="12"/>
  <c r="B20" i="12"/>
  <c r="B19" i="12"/>
  <c r="B18" i="12"/>
  <c r="B17" i="12"/>
  <c r="B16" i="12"/>
  <c r="B15" i="12"/>
  <c r="C14" i="12"/>
  <c r="A14" i="12"/>
  <c r="P10" i="12"/>
  <c r="C10" i="12"/>
  <c r="T9" i="12"/>
  <c r="P5" i="12"/>
  <c r="F1" i="12"/>
  <c r="G1" i="12" s="1"/>
  <c r="H1" i="12" s="1"/>
  <c r="I1" i="12" s="1"/>
  <c r="J1" i="12" s="1"/>
  <c r="E1" i="12"/>
  <c r="B38" i="2"/>
  <c r="C3" i="3"/>
  <c r="D3" i="3"/>
  <c r="E3" i="3"/>
  <c r="F3" i="3"/>
  <c r="G3" i="3"/>
  <c r="H3" i="3"/>
  <c r="I3" i="3"/>
  <c r="C4" i="3"/>
  <c r="D4" i="3"/>
  <c r="E4" i="3"/>
  <c r="F4" i="3"/>
  <c r="G4" i="3"/>
  <c r="H4" i="3"/>
  <c r="I4" i="3"/>
  <c r="C5" i="3"/>
  <c r="D5" i="3"/>
  <c r="E5" i="3"/>
  <c r="F5" i="3"/>
  <c r="G5" i="3"/>
  <c r="H5" i="3"/>
  <c r="I5" i="3"/>
  <c r="C6" i="3"/>
  <c r="D6" i="3"/>
  <c r="E6" i="3"/>
  <c r="F6" i="3"/>
  <c r="G6" i="3"/>
  <c r="H6" i="3"/>
  <c r="I6" i="3"/>
  <c r="C7" i="3"/>
  <c r="D7" i="3"/>
  <c r="E7" i="3"/>
  <c r="F7" i="3"/>
  <c r="G7" i="3"/>
  <c r="H7" i="3"/>
  <c r="I7" i="3"/>
  <c r="C8" i="3"/>
  <c r="D8" i="3"/>
  <c r="E8" i="3"/>
  <c r="F8" i="3"/>
  <c r="G8" i="3"/>
  <c r="H8" i="3"/>
  <c r="I8" i="3"/>
  <c r="C9" i="3"/>
  <c r="D9" i="3"/>
  <c r="E9" i="3"/>
  <c r="F9" i="3"/>
  <c r="G9" i="3"/>
  <c r="H9" i="3"/>
  <c r="I9" i="3"/>
  <c r="C10" i="3"/>
  <c r="D10" i="3"/>
  <c r="E10" i="3"/>
  <c r="F10" i="3"/>
  <c r="G10" i="3"/>
  <c r="H10" i="3"/>
  <c r="I10" i="3"/>
  <c r="C11" i="3"/>
  <c r="D11" i="3"/>
  <c r="E11" i="3"/>
  <c r="F11" i="3"/>
  <c r="G11" i="3"/>
  <c r="H11" i="3"/>
  <c r="I11" i="3"/>
  <c r="C12" i="3"/>
  <c r="D12" i="3"/>
  <c r="E12" i="3"/>
  <c r="F12" i="3"/>
  <c r="G12" i="3"/>
  <c r="H12" i="3"/>
  <c r="I12" i="3"/>
  <c r="C13" i="3"/>
  <c r="D13" i="3"/>
  <c r="E13" i="3"/>
  <c r="F13" i="3"/>
  <c r="G13" i="3"/>
  <c r="H13" i="3"/>
  <c r="I13" i="3"/>
  <c r="C14" i="3"/>
  <c r="D14" i="3"/>
  <c r="E14" i="3"/>
  <c r="F14" i="3"/>
  <c r="G14" i="3"/>
  <c r="H14" i="3"/>
  <c r="I14" i="3"/>
  <c r="C15" i="3"/>
  <c r="D15" i="3"/>
  <c r="E15" i="3"/>
  <c r="F15" i="3"/>
  <c r="G15" i="3"/>
  <c r="H15" i="3"/>
  <c r="I15" i="3"/>
  <c r="C16" i="3"/>
  <c r="D16" i="3"/>
  <c r="E16" i="3"/>
  <c r="F16" i="3"/>
  <c r="G16" i="3"/>
  <c r="H16" i="3"/>
  <c r="I16" i="3"/>
  <c r="C17" i="3"/>
  <c r="D17" i="3"/>
  <c r="E17" i="3"/>
  <c r="F17" i="3"/>
  <c r="G17" i="3"/>
  <c r="H17" i="3"/>
  <c r="I17" i="3"/>
  <c r="C18" i="3"/>
  <c r="D18" i="3"/>
  <c r="E18" i="3"/>
  <c r="F18" i="3"/>
  <c r="G18" i="3"/>
  <c r="H18" i="3"/>
  <c r="I18" i="3"/>
  <c r="C19" i="3"/>
  <c r="D19" i="3"/>
  <c r="E19" i="3"/>
  <c r="F19" i="3"/>
  <c r="G19" i="3"/>
  <c r="H19" i="3"/>
  <c r="I19" i="3"/>
  <c r="C20" i="3"/>
  <c r="D20" i="3"/>
  <c r="E20" i="3"/>
  <c r="F20" i="3"/>
  <c r="G20" i="3"/>
  <c r="H20" i="3"/>
  <c r="I20" i="3"/>
  <c r="C21" i="3"/>
  <c r="D21" i="3"/>
  <c r="E21" i="3"/>
  <c r="F21" i="3"/>
  <c r="G21" i="3"/>
  <c r="H21" i="3"/>
  <c r="I21" i="3"/>
  <c r="C22" i="3"/>
  <c r="D22" i="3"/>
  <c r="E22" i="3"/>
  <c r="F22" i="3"/>
  <c r="G22" i="3"/>
  <c r="H22" i="3"/>
  <c r="I22" i="3"/>
  <c r="C23" i="3"/>
  <c r="D23" i="3"/>
  <c r="E23" i="3"/>
  <c r="F23" i="3"/>
  <c r="G23" i="3"/>
  <c r="H23" i="3"/>
  <c r="I23" i="3"/>
  <c r="C24" i="3"/>
  <c r="D24" i="3"/>
  <c r="E24" i="3"/>
  <c r="F24" i="3"/>
  <c r="G24" i="3"/>
  <c r="H24" i="3"/>
  <c r="I24" i="3"/>
  <c r="C25" i="3"/>
  <c r="D25" i="3"/>
  <c r="E25" i="3"/>
  <c r="F25" i="3"/>
  <c r="G25" i="3"/>
  <c r="H25" i="3"/>
  <c r="I25" i="3"/>
  <c r="C26" i="3"/>
  <c r="D26" i="3"/>
  <c r="E26" i="3"/>
  <c r="F26" i="3"/>
  <c r="G26" i="3"/>
  <c r="H26" i="3"/>
  <c r="I26" i="3"/>
  <c r="C27" i="3"/>
  <c r="D27" i="3"/>
  <c r="E27" i="3"/>
  <c r="F27" i="3"/>
  <c r="G27" i="3"/>
  <c r="H27" i="3"/>
  <c r="I27" i="3"/>
  <c r="C28" i="3"/>
  <c r="D28" i="3"/>
  <c r="E28" i="3"/>
  <c r="F28" i="3"/>
  <c r="G28" i="3"/>
  <c r="H28" i="3"/>
  <c r="I28" i="3"/>
  <c r="C29" i="3"/>
  <c r="D29" i="3"/>
  <c r="E29" i="3"/>
  <c r="F29" i="3"/>
  <c r="G29" i="3"/>
  <c r="H29" i="3"/>
  <c r="I29" i="3"/>
  <c r="C30" i="3"/>
  <c r="D30" i="3"/>
  <c r="E30" i="3"/>
  <c r="F30" i="3"/>
  <c r="G30" i="3"/>
  <c r="H30" i="3"/>
  <c r="I30" i="3"/>
  <c r="C31" i="3"/>
  <c r="D31" i="3"/>
  <c r="E31" i="3"/>
  <c r="F31" i="3"/>
  <c r="G31" i="3"/>
  <c r="H31" i="3"/>
  <c r="I31" i="3"/>
  <c r="C32" i="3"/>
  <c r="D32" i="3"/>
  <c r="E32" i="3"/>
  <c r="F32" i="3"/>
  <c r="G32" i="3"/>
  <c r="H32" i="3"/>
  <c r="I32" i="3"/>
  <c r="C33" i="3"/>
  <c r="D33" i="3"/>
  <c r="E33" i="3"/>
  <c r="F33" i="3"/>
  <c r="G33" i="3"/>
  <c r="H33" i="3"/>
  <c r="I33" i="3"/>
  <c r="C34" i="3"/>
  <c r="D34" i="3"/>
  <c r="E34" i="3"/>
  <c r="F34" i="3"/>
  <c r="G34" i="3"/>
  <c r="H34" i="3"/>
  <c r="I34" i="3"/>
  <c r="C35" i="3"/>
  <c r="D35" i="3"/>
  <c r="E35" i="3"/>
  <c r="F35" i="3"/>
  <c r="G35" i="3"/>
  <c r="H35" i="3"/>
  <c r="I35" i="3"/>
  <c r="C36" i="3"/>
  <c r="D36" i="3"/>
  <c r="E36" i="3"/>
  <c r="F36" i="3"/>
  <c r="G36" i="3"/>
  <c r="H36" i="3"/>
  <c r="I36" i="3"/>
  <c r="C37" i="3"/>
  <c r="D37" i="3"/>
  <c r="E37" i="3"/>
  <c r="F37" i="3"/>
  <c r="G37" i="3"/>
  <c r="H37" i="3"/>
  <c r="I37" i="3"/>
  <c r="C38" i="3"/>
  <c r="D38" i="3"/>
  <c r="E38" i="3"/>
  <c r="F38" i="3"/>
  <c r="G38" i="3"/>
  <c r="H38" i="3"/>
  <c r="I38" i="3"/>
  <c r="C39" i="3"/>
  <c r="D39" i="3"/>
  <c r="E39" i="3"/>
  <c r="F39" i="3"/>
  <c r="G39" i="3"/>
  <c r="H39" i="3"/>
  <c r="I39" i="3"/>
  <c r="C40" i="3"/>
  <c r="D40" i="3"/>
  <c r="E40" i="3"/>
  <c r="F40" i="3"/>
  <c r="G40" i="3"/>
  <c r="H40" i="3"/>
  <c r="I40" i="3"/>
  <c r="C41" i="3"/>
  <c r="D41" i="3"/>
  <c r="E41" i="3"/>
  <c r="F41" i="3"/>
  <c r="G41" i="3"/>
  <c r="H41" i="3"/>
  <c r="I41" i="3"/>
  <c r="C42" i="3"/>
  <c r="D42" i="3"/>
  <c r="E42" i="3"/>
  <c r="F42" i="3"/>
  <c r="G42" i="3"/>
  <c r="H42" i="3"/>
  <c r="I42" i="3"/>
  <c r="C43" i="3"/>
  <c r="D43" i="3"/>
  <c r="E43" i="3"/>
  <c r="F43" i="3"/>
  <c r="G43" i="3"/>
  <c r="H43" i="3"/>
  <c r="I43" i="3"/>
  <c r="C44" i="3"/>
  <c r="D44" i="3"/>
  <c r="E44" i="3"/>
  <c r="F44" i="3"/>
  <c r="G44" i="3"/>
  <c r="H44" i="3"/>
  <c r="I44" i="3"/>
  <c r="D2" i="3"/>
  <c r="E2" i="3"/>
  <c r="F2" i="3"/>
  <c r="G2" i="3"/>
  <c r="H2" i="3"/>
  <c r="I2" i="3"/>
  <c r="C2" i="3"/>
  <c r="E6" i="4"/>
  <c r="F6" i="4"/>
  <c r="G6" i="4"/>
  <c r="H6" i="4"/>
  <c r="I6" i="4"/>
  <c r="J6" i="4"/>
  <c r="E5" i="4"/>
  <c r="F5" i="4"/>
  <c r="G5" i="4"/>
  <c r="H5" i="4"/>
  <c r="I5" i="4"/>
  <c r="J5" i="4"/>
  <c r="E4" i="4"/>
  <c r="F4" i="4"/>
  <c r="G4" i="4"/>
  <c r="H4" i="4"/>
  <c r="I4" i="4"/>
  <c r="J4" i="4"/>
  <c r="E3" i="4"/>
  <c r="F3" i="4"/>
  <c r="G3" i="4"/>
  <c r="H3" i="4"/>
  <c r="I3" i="4"/>
  <c r="J3" i="4"/>
  <c r="B59" i="2"/>
  <c r="B56" i="2"/>
  <c r="B52" i="2"/>
  <c r="AH2" i="6" l="1"/>
  <c r="AI2" i="6" s="1"/>
  <c r="AH7" i="6"/>
  <c r="AI7" i="6" s="1"/>
  <c r="AH5" i="6"/>
  <c r="AI5" i="6" s="1"/>
  <c r="AH12" i="6"/>
  <c r="AH10" i="6"/>
  <c r="AI10" i="6" s="1"/>
  <c r="B46" i="2"/>
  <c r="AI12" i="6" l="1"/>
  <c r="AJ12" i="6" s="1"/>
  <c r="AH20" i="6"/>
  <c r="AI20" i="6" s="1"/>
  <c r="AJ20" i="6" s="1"/>
  <c r="AH15" i="6"/>
  <c r="AI15" i="6" s="1"/>
  <c r="AJ15" i="6" s="1"/>
  <c r="AH18" i="6"/>
  <c r="AI18" i="6" s="1"/>
  <c r="AJ18" i="6" s="1"/>
  <c r="AH13" i="6"/>
  <c r="AI13" i="6" s="1"/>
  <c r="AJ13" i="6" s="1"/>
  <c r="AH9" i="6"/>
  <c r="AI9" i="6" s="1"/>
  <c r="AH17" i="6"/>
  <c r="AI17" i="6" s="1"/>
  <c r="AJ17" i="6" s="1"/>
  <c r="AH21" i="6"/>
  <c r="AI21" i="6" s="1"/>
  <c r="AJ21" i="6" s="1"/>
  <c r="AH25" i="6"/>
  <c r="AI25" i="6" s="1"/>
  <c r="AJ25" i="6" s="1"/>
  <c r="AH23" i="6"/>
  <c r="AI23" i="6" s="1"/>
  <c r="AJ23" i="6" s="1"/>
  <c r="AH11" i="6"/>
  <c r="AH19" i="6"/>
  <c r="AI19" i="6" s="1"/>
  <c r="AJ19" i="6" s="1"/>
  <c r="AH14" i="6"/>
  <c r="AI14" i="6" s="1"/>
  <c r="AJ14" i="6" s="1"/>
  <c r="AH24" i="6"/>
  <c r="AI24" i="6" s="1"/>
  <c r="AJ24" i="6" s="1"/>
  <c r="AH3" i="6"/>
  <c r="AI3" i="6" s="1"/>
  <c r="AH6" i="6"/>
  <c r="AI6" i="6" s="1"/>
  <c r="AH4" i="6"/>
  <c r="AI4" i="6" s="1"/>
  <c r="AH22" i="6"/>
  <c r="AI22" i="6" s="1"/>
  <c r="AJ22" i="6" s="1"/>
  <c r="AH16" i="6"/>
  <c r="AI16" i="6" s="1"/>
  <c r="AJ16" i="6" s="1"/>
  <c r="AH8" i="6"/>
  <c r="AI8" i="6" s="1"/>
  <c r="AJ9" i="6" l="1"/>
  <c r="AJ5" i="6"/>
  <c r="AJ10" i="6"/>
  <c r="AI11" i="6"/>
  <c r="AJ11" i="6" s="1"/>
  <c r="J30" i="2"/>
  <c r="A19" i="2"/>
  <c r="Z19" i="2" s="1"/>
  <c r="A11" i="2"/>
  <c r="Z11" i="2" s="1"/>
  <c r="B37" i="2"/>
  <c r="B35" i="2"/>
  <c r="B14" i="2" l="1"/>
  <c r="B5" i="2"/>
  <c r="A23" i="2"/>
  <c r="Z23" i="2" s="1"/>
  <c r="A18" i="2"/>
  <c r="Z18" i="2" s="1"/>
  <c r="A17" i="2"/>
  <c r="Z17" i="2" s="1"/>
  <c r="A53" i="2"/>
  <c r="A49" i="2"/>
  <c r="A48" i="2"/>
  <c r="A41" i="2"/>
  <c r="A40" i="2"/>
  <c r="A39" i="2"/>
  <c r="A36" i="2"/>
  <c r="A10" i="2"/>
  <c r="Z10" i="2" s="1"/>
  <c r="A9" i="2"/>
  <c r="Z9" i="2" s="1"/>
  <c r="Z6" i="2"/>
  <c r="A47" i="2"/>
  <c r="J49" i="2" l="1"/>
  <c r="Z49" i="2"/>
  <c r="J36" i="2"/>
  <c r="Z36" i="2"/>
  <c r="J39" i="2"/>
  <c r="Z39" i="2"/>
  <c r="J40" i="2"/>
  <c r="Z40" i="2"/>
  <c r="J53" i="2"/>
  <c r="Z53" i="2"/>
  <c r="J41" i="2"/>
  <c r="Z41" i="2"/>
  <c r="J47" i="2"/>
  <c r="Z47" i="2"/>
  <c r="J48" i="2"/>
  <c r="Z48" i="2"/>
  <c r="E2" i="6"/>
  <c r="AJ2" i="6" l="1"/>
  <c r="AJ4" i="6"/>
  <c r="AJ3" i="6"/>
  <c r="B17" i="1"/>
  <c r="B29" i="2"/>
  <c r="B26" i="2"/>
  <c r="B7" i="2" l="1"/>
  <c r="AJ6" i="6"/>
  <c r="D11" i="4"/>
  <c r="AJ7" i="6"/>
  <c r="D9" i="4"/>
  <c r="AJ8" i="6"/>
  <c r="L6" i="4"/>
  <c r="L5" i="4"/>
  <c r="L4" i="4"/>
  <c r="L3" i="4"/>
  <c r="D6" i="4"/>
  <c r="D5" i="4"/>
  <c r="D4" i="4"/>
  <c r="D3" i="4"/>
  <c r="J23" i="2"/>
  <c r="B22" i="2"/>
  <c r="J17" i="2"/>
  <c r="J19" i="2"/>
  <c r="J18" i="2"/>
  <c r="P5" i="4"/>
  <c r="D7" i="4"/>
  <c r="L2" i="4"/>
  <c r="E1" i="4"/>
  <c r="F1" i="4" s="1"/>
  <c r="G1" i="4" s="1"/>
  <c r="H1" i="4" s="1"/>
  <c r="I1" i="4" s="1"/>
  <c r="J1" i="4" s="1"/>
  <c r="P5" i="1"/>
  <c r="P10" i="1"/>
  <c r="C7" i="2" a="1"/>
  <c r="C7" i="2" l="1"/>
  <c r="D8" i="4"/>
  <c r="D10" i="4"/>
  <c r="B16" i="2"/>
  <c r="J11" i="2"/>
  <c r="J10" i="2"/>
  <c r="J9" i="2"/>
  <c r="J6" i="2"/>
  <c r="B16" i="1"/>
  <c r="B18" i="1"/>
  <c r="B19" i="1"/>
  <c r="B20" i="1"/>
  <c r="B21" i="1"/>
  <c r="B22" i="1"/>
  <c r="E1" i="1" l="1"/>
  <c r="G2" i="6" s="1"/>
  <c r="F1" i="1" l="1"/>
  <c r="I2" i="6" s="1"/>
  <c r="A3" i="2"/>
  <c r="A33" i="2" l="1"/>
  <c r="Z3" i="2"/>
  <c r="G1" i="1"/>
  <c r="A63" i="2" l="1"/>
  <c r="Z33" i="2"/>
  <c r="H1" i="1"/>
  <c r="K2" i="6"/>
  <c r="A93" i="2" l="1"/>
  <c r="Z63" i="2"/>
  <c r="G16" i="4" a="1"/>
  <c r="G16" i="4" s="1"/>
  <c r="K5" i="6" s="1"/>
  <c r="L5" i="6" s="1"/>
  <c r="H25" i="4" a="1"/>
  <c r="H25" i="4" s="1"/>
  <c r="M14" i="6" s="1"/>
  <c r="N14" i="6" s="1"/>
  <c r="I34" i="4" a="1"/>
  <c r="I34" i="4" s="1"/>
  <c r="O23" i="6" s="1"/>
  <c r="P23" i="6" s="1"/>
  <c r="J38" i="4" a="1"/>
  <c r="J38" i="4" s="1"/>
  <c r="Q27" i="6" s="1"/>
  <c r="R27" i="6" s="1"/>
  <c r="D20" i="4" a="1"/>
  <c r="D20" i="4" s="1"/>
  <c r="E9" i="6" s="1"/>
  <c r="F9" i="6" s="1"/>
  <c r="E29" i="4" a="1"/>
  <c r="E29" i="4" s="1"/>
  <c r="G18" i="6" s="1"/>
  <c r="H18" i="6" s="1"/>
  <c r="F38" i="4" a="1"/>
  <c r="F38" i="4" s="1"/>
  <c r="I27" i="6" s="1"/>
  <c r="J27" i="6" s="1"/>
  <c r="G34" i="4" a="1"/>
  <c r="G34" i="4" s="1"/>
  <c r="K23" i="6" s="1"/>
  <c r="L23" i="6" s="1"/>
  <c r="H23" i="4" a="1"/>
  <c r="H23" i="4" s="1"/>
  <c r="M12" i="6" s="1"/>
  <c r="N12" i="6" s="1"/>
  <c r="I32" i="4" a="1"/>
  <c r="I32" i="4" s="1"/>
  <c r="O21" i="6" s="1"/>
  <c r="P21" i="6" s="1"/>
  <c r="D24" i="4" a="1"/>
  <c r="D24" i="4" s="1"/>
  <c r="D18" i="4" a="1"/>
  <c r="D18" i="4" s="1"/>
  <c r="E27" i="4" a="1"/>
  <c r="E27" i="4" s="1"/>
  <c r="G16" i="6" s="1"/>
  <c r="H16" i="6" s="1"/>
  <c r="F36" i="4" a="1"/>
  <c r="F36" i="4" s="1"/>
  <c r="I25" i="6" s="1"/>
  <c r="J25" i="6" s="1"/>
  <c r="D17" i="4" a="1"/>
  <c r="D17" i="4" s="1"/>
  <c r="E6" i="6" s="1"/>
  <c r="F6" i="6" s="1"/>
  <c r="E26" i="4" a="1"/>
  <c r="E26" i="4" s="1"/>
  <c r="G15" i="6" s="1"/>
  <c r="H15" i="6" s="1"/>
  <c r="F35" i="4" a="1"/>
  <c r="F35" i="4" s="1"/>
  <c r="I24" i="6" s="1"/>
  <c r="J24" i="6" s="1"/>
  <c r="H36" i="4" a="1"/>
  <c r="H36" i="4" s="1"/>
  <c r="M25" i="6" s="1"/>
  <c r="N25" i="6" s="1"/>
  <c r="H18" i="4" a="1"/>
  <c r="H18" i="4" s="1"/>
  <c r="M7" i="6" s="1"/>
  <c r="N7" i="6" s="1"/>
  <c r="I27" i="4" a="1"/>
  <c r="I27" i="4" s="1"/>
  <c r="O16" i="6" s="1"/>
  <c r="P16" i="6" s="1"/>
  <c r="J36" i="4" a="1"/>
  <c r="J36" i="4" s="1"/>
  <c r="Q25" i="6" s="1"/>
  <c r="R25" i="6" s="1"/>
  <c r="F28" i="4" a="1"/>
  <c r="F28" i="4" s="1"/>
  <c r="I17" i="6" s="1"/>
  <c r="J17" i="6" s="1"/>
  <c r="D38" i="4" a="1"/>
  <c r="D38" i="4" s="1"/>
  <c r="E27" i="6" s="1"/>
  <c r="F27" i="6" s="1"/>
  <c r="H17" i="4" a="1"/>
  <c r="H17" i="4" s="1"/>
  <c r="M6" i="6" s="1"/>
  <c r="N6" i="6" s="1"/>
  <c r="I26" i="4" a="1"/>
  <c r="I26" i="4" s="1"/>
  <c r="O15" i="6" s="1"/>
  <c r="P15" i="6" s="1"/>
  <c r="J35" i="4" a="1"/>
  <c r="J35" i="4" s="1"/>
  <c r="Q24" i="6" s="1"/>
  <c r="R24" i="6" s="1"/>
  <c r="F17" i="4" a="1"/>
  <c r="F17" i="4" s="1"/>
  <c r="I6" i="6" s="1"/>
  <c r="J6" i="6" s="1"/>
  <c r="E21" i="4" a="1"/>
  <c r="E21" i="4" s="1"/>
  <c r="G10" i="6" s="1"/>
  <c r="H10" i="6" s="1"/>
  <c r="F30" i="4" a="1"/>
  <c r="F30" i="4" s="1"/>
  <c r="I19" i="6" s="1"/>
  <c r="J19" i="6" s="1"/>
  <c r="H15" i="4" a="1"/>
  <c r="H15" i="4" s="1"/>
  <c r="J37" i="4" a="1"/>
  <c r="J37" i="4" s="1"/>
  <c r="Q26" i="6" s="1"/>
  <c r="R26" i="6" s="1"/>
  <c r="I24" i="4" a="1"/>
  <c r="I24" i="4" s="1"/>
  <c r="O13" i="6" s="1"/>
  <c r="P13" i="6" s="1"/>
  <c r="J33" i="4" a="1"/>
  <c r="J33" i="4" s="1"/>
  <c r="Q22" i="6" s="1"/>
  <c r="R22" i="6" s="1"/>
  <c r="J30" i="4" a="1"/>
  <c r="J30" i="4" s="1"/>
  <c r="Q19" i="6" s="1"/>
  <c r="R19" i="6" s="1"/>
  <c r="E19" i="4" a="1"/>
  <c r="E19" i="4" s="1"/>
  <c r="G8" i="6" s="1"/>
  <c r="H8" i="6" s="1"/>
  <c r="F27" i="4" a="1"/>
  <c r="F27" i="4" s="1"/>
  <c r="I16" i="6" s="1"/>
  <c r="J16" i="6" s="1"/>
  <c r="G26" i="4" a="1"/>
  <c r="G26" i="4" s="1"/>
  <c r="K15" i="6" s="1"/>
  <c r="L15" i="6" s="1"/>
  <c r="I18" i="4" a="1"/>
  <c r="I18" i="4" s="1"/>
  <c r="O7" i="6" s="1"/>
  <c r="P7" i="6" s="1"/>
  <c r="J27" i="4" a="1"/>
  <c r="J27" i="4" s="1"/>
  <c r="Q16" i="6" s="1"/>
  <c r="R16" i="6" s="1"/>
  <c r="D37" i="4" a="1"/>
  <c r="D37" i="4" s="1"/>
  <c r="E26" i="6" s="1"/>
  <c r="F26" i="6" s="1"/>
  <c r="D23" i="4" a="1"/>
  <c r="D23" i="4" s="1"/>
  <c r="F22" i="4" a="1"/>
  <c r="F22" i="4" s="1"/>
  <c r="I11" i="6" s="1"/>
  <c r="J11" i="6" s="1"/>
  <c r="G31" i="4" a="1"/>
  <c r="G31" i="4" s="1"/>
  <c r="K20" i="6" s="1"/>
  <c r="L20" i="6" s="1"/>
  <c r="D16" i="4" a="1"/>
  <c r="D16" i="4" s="1"/>
  <c r="I16" i="4" a="1"/>
  <c r="I16" i="4" s="1"/>
  <c r="O5" i="6" s="1"/>
  <c r="P5" i="6" s="1"/>
  <c r="J25" i="4" a="1"/>
  <c r="J25" i="4" s="1"/>
  <c r="Q14" i="6" s="1"/>
  <c r="R14" i="6" s="1"/>
  <c r="D35" i="4" a="1"/>
  <c r="D35" i="4" s="1"/>
  <c r="E24" i="6" s="1"/>
  <c r="F24" i="6" s="1"/>
  <c r="I37" i="4" a="1"/>
  <c r="I37" i="4" s="1"/>
  <c r="O26" i="6" s="1"/>
  <c r="P26" i="6" s="1"/>
  <c r="F20" i="4" a="1"/>
  <c r="F20" i="4" s="1"/>
  <c r="I9" i="6" s="1"/>
  <c r="J9" i="6" s="1"/>
  <c r="G29" i="4" a="1"/>
  <c r="G29" i="4" s="1"/>
  <c r="K18" i="6" s="1"/>
  <c r="L18" i="6" s="1"/>
  <c r="H38" i="4" a="1"/>
  <c r="H38" i="4" s="1"/>
  <c r="M27" i="6" s="1"/>
  <c r="N27" i="6" s="1"/>
  <c r="F19" i="4" a="1"/>
  <c r="F19" i="4" s="1"/>
  <c r="I8" i="6" s="1"/>
  <c r="J8" i="6" s="1"/>
  <c r="G28" i="4" a="1"/>
  <c r="G28" i="4" s="1"/>
  <c r="K17" i="6" s="1"/>
  <c r="L17" i="6" s="1"/>
  <c r="J19" i="4" a="1"/>
  <c r="J19" i="4" s="1"/>
  <c r="Q8" i="6" s="1"/>
  <c r="R8" i="6" s="1"/>
  <c r="D29" i="4" a="1"/>
  <c r="D29" i="4" s="1"/>
  <c r="E18" i="6" s="1"/>
  <c r="F18" i="6" s="1"/>
  <c r="E38" i="4" a="1"/>
  <c r="E38" i="4" s="1"/>
  <c r="G27" i="6" s="1"/>
  <c r="H27" i="6" s="1"/>
  <c r="J29" i="4" a="1"/>
  <c r="J29" i="4" s="1"/>
  <c r="Q18" i="6" s="1"/>
  <c r="R18" i="6" s="1"/>
  <c r="G23" i="4" a="1"/>
  <c r="G23" i="4" s="1"/>
  <c r="K12" i="6" s="1"/>
  <c r="L12" i="6" s="1"/>
  <c r="H32" i="4" a="1"/>
  <c r="H32" i="4" s="1"/>
  <c r="M21" i="6" s="1"/>
  <c r="N21" i="6" s="1"/>
  <c r="I21" i="4" a="1"/>
  <c r="I21" i="4" s="1"/>
  <c r="O10" i="6" s="1"/>
  <c r="P10" i="6" s="1"/>
  <c r="J17" i="4" a="1"/>
  <c r="J17" i="4" s="1"/>
  <c r="Q6" i="6" s="1"/>
  <c r="R6" i="6" s="1"/>
  <c r="D27" i="4" a="1"/>
  <c r="D27" i="4" s="1"/>
  <c r="E16" i="6" s="1"/>
  <c r="F16" i="6" s="1"/>
  <c r="E36" i="4" a="1"/>
  <c r="E36" i="4" s="1"/>
  <c r="G25" i="6" s="1"/>
  <c r="H25" i="6" s="1"/>
  <c r="H19" i="4" a="1"/>
  <c r="H19" i="4" s="1"/>
  <c r="M8" i="6" s="1"/>
  <c r="N8" i="6" s="1"/>
  <c r="G21" i="4" a="1"/>
  <c r="G21" i="4" s="1"/>
  <c r="K10" i="6" s="1"/>
  <c r="L10" i="6" s="1"/>
  <c r="H30" i="4" a="1"/>
  <c r="H30" i="4" s="1"/>
  <c r="M19" i="6" s="1"/>
  <c r="N19" i="6" s="1"/>
  <c r="J15" i="4" a="1"/>
  <c r="J15" i="4" s="1"/>
  <c r="G20" i="4" a="1"/>
  <c r="G20" i="4" s="1"/>
  <c r="K9" i="6" s="1"/>
  <c r="L9" i="6" s="1"/>
  <c r="H29" i="4" a="1"/>
  <c r="H29" i="4" s="1"/>
  <c r="M18" i="6" s="1"/>
  <c r="N18" i="6" s="1"/>
  <c r="I38" i="4" a="1"/>
  <c r="I38" i="4" s="1"/>
  <c r="O27" i="6" s="1"/>
  <c r="P27" i="6" s="1"/>
  <c r="F33" i="4" a="1"/>
  <c r="F33" i="4" s="1"/>
  <c r="I22" i="6" s="1"/>
  <c r="J22" i="6" s="1"/>
  <c r="D22" i="4" a="1"/>
  <c r="D22" i="4" s="1"/>
  <c r="E11" i="6" s="1"/>
  <c r="F11" i="6" s="1"/>
  <c r="E31" i="4" a="1"/>
  <c r="E31" i="4" s="1"/>
  <c r="G20" i="6" s="1"/>
  <c r="H20" i="6" s="1"/>
  <c r="E25" i="4" a="1"/>
  <c r="E25" i="4" s="1"/>
  <c r="G14" i="6" s="1"/>
  <c r="H14" i="6" s="1"/>
  <c r="G18" i="4" a="1"/>
  <c r="G18" i="4" s="1"/>
  <c r="K7" i="6" s="1"/>
  <c r="L7" i="6" s="1"/>
  <c r="I19" i="4" a="1"/>
  <c r="I19" i="4" s="1"/>
  <c r="O8" i="6" s="1"/>
  <c r="P8" i="6" s="1"/>
  <c r="F15" i="4" a="1"/>
  <c r="F15" i="4" s="1"/>
  <c r="D21" i="4" a="1"/>
  <c r="D21" i="4" s="1"/>
  <c r="E10" i="6" s="1"/>
  <c r="F10" i="6" s="1"/>
  <c r="E30" i="4" a="1"/>
  <c r="E30" i="4" s="1"/>
  <c r="G19" i="6" s="1"/>
  <c r="H19" i="6" s="1"/>
  <c r="G15" i="4" a="1"/>
  <c r="G15" i="4" s="1"/>
  <c r="H35" i="4" a="1"/>
  <c r="H35" i="4" s="1"/>
  <c r="M24" i="6" s="1"/>
  <c r="N24" i="6" s="1"/>
  <c r="H24" i="4" a="1"/>
  <c r="H24" i="4" s="1"/>
  <c r="M13" i="6" s="1"/>
  <c r="N13" i="6" s="1"/>
  <c r="I33" i="4" a="1"/>
  <c r="I33" i="4" s="1"/>
  <c r="O22" i="6" s="1"/>
  <c r="P22" i="6" s="1"/>
  <c r="H28" i="4" a="1"/>
  <c r="H28" i="4" s="1"/>
  <c r="M17" i="6" s="1"/>
  <c r="N17" i="6" s="1"/>
  <c r="D19" i="4" a="1"/>
  <c r="D19" i="4" s="1"/>
  <c r="E8" i="6" s="1"/>
  <c r="F8" i="6" s="1"/>
  <c r="E28" i="4" a="1"/>
  <c r="E28" i="4" s="1"/>
  <c r="G17" i="6" s="1"/>
  <c r="H17" i="6" s="1"/>
  <c r="F37" i="4" a="1"/>
  <c r="F37" i="4" s="1"/>
  <c r="I26" i="6" s="1"/>
  <c r="J26" i="6" s="1"/>
  <c r="E24" i="4" a="1"/>
  <c r="E24" i="4" s="1"/>
  <c r="G13" i="6" s="1"/>
  <c r="H13" i="6" s="1"/>
  <c r="H22" i="4" a="1"/>
  <c r="H22" i="4" s="1"/>
  <c r="M11" i="6" s="1"/>
  <c r="N11" i="6" s="1"/>
  <c r="I31" i="4" a="1"/>
  <c r="I31" i="4" s="1"/>
  <c r="O20" i="6" s="1"/>
  <c r="P20" i="6" s="1"/>
  <c r="H20" i="4" a="1"/>
  <c r="H20" i="4" s="1"/>
  <c r="M9" i="6" s="1"/>
  <c r="N9" i="6" s="1"/>
  <c r="H21" i="4" a="1"/>
  <c r="H21" i="4" s="1"/>
  <c r="M10" i="6" s="1"/>
  <c r="N10" i="6" s="1"/>
  <c r="I30" i="4" a="1"/>
  <c r="I30" i="4" s="1"/>
  <c r="O19" i="6" s="1"/>
  <c r="P19" i="6" s="1"/>
  <c r="D15" i="4" a="1"/>
  <c r="D15" i="4" s="1"/>
  <c r="E15" i="4" a="1"/>
  <c r="E15" i="4" s="1"/>
  <c r="E23" i="4" a="1"/>
  <c r="E23" i="4" s="1"/>
  <c r="G12" i="6" s="1"/>
  <c r="H12" i="6" s="1"/>
  <c r="F32" i="4" a="1"/>
  <c r="F32" i="4" s="1"/>
  <c r="I21" i="6" s="1"/>
  <c r="J21" i="6" s="1"/>
  <c r="F34" i="4" a="1"/>
  <c r="F34" i="4" s="1"/>
  <c r="I23" i="6" s="1"/>
  <c r="J23" i="6" s="1"/>
  <c r="G37" i="4" a="1"/>
  <c r="G37" i="4" s="1"/>
  <c r="K26" i="6" s="1"/>
  <c r="L26" i="6" s="1"/>
  <c r="J28" i="4" a="1"/>
  <c r="J28" i="4" s="1"/>
  <c r="Q17" i="6" s="1"/>
  <c r="R17" i="6" s="1"/>
  <c r="E22" i="4" a="1"/>
  <c r="E22" i="4" s="1"/>
  <c r="G11" i="6" s="1"/>
  <c r="H11" i="6" s="1"/>
  <c r="F31" i="4" a="1"/>
  <c r="F31" i="4" s="1"/>
  <c r="I20" i="6" s="1"/>
  <c r="J20" i="6" s="1"/>
  <c r="G19" i="4" a="1"/>
  <c r="G19" i="4" s="1"/>
  <c r="K8" i="6" s="1"/>
  <c r="L8" i="6" s="1"/>
  <c r="H16" i="4" a="1"/>
  <c r="H16" i="4" s="1"/>
  <c r="M5" i="6" s="1"/>
  <c r="N5" i="6" s="1"/>
  <c r="I25" i="4" a="1"/>
  <c r="I25" i="4" s="1"/>
  <c r="O14" i="6" s="1"/>
  <c r="P14" i="6" s="1"/>
  <c r="J34" i="4" a="1"/>
  <c r="J34" i="4" s="1"/>
  <c r="Q23" i="6" s="1"/>
  <c r="R23" i="6" s="1"/>
  <c r="G35" i="4" a="1"/>
  <c r="G35" i="4" s="1"/>
  <c r="K24" i="6" s="1"/>
  <c r="L24" i="6" s="1"/>
  <c r="E20" i="4" a="1"/>
  <c r="E20" i="4" s="1"/>
  <c r="G9" i="6" s="1"/>
  <c r="H9" i="6" s="1"/>
  <c r="F29" i="4" a="1"/>
  <c r="F29" i="4" s="1"/>
  <c r="I18" i="6" s="1"/>
  <c r="J18" i="6" s="1"/>
  <c r="G38" i="4" a="1"/>
  <c r="G38" i="4" s="1"/>
  <c r="K27" i="6" s="1"/>
  <c r="L27" i="6" s="1"/>
  <c r="D31" i="4" a="1"/>
  <c r="D31" i="4" s="1"/>
  <c r="E20" i="6" s="1"/>
  <c r="F20" i="6" s="1"/>
  <c r="I23" i="4" a="1"/>
  <c r="I23" i="4" s="1"/>
  <c r="O12" i="6" s="1"/>
  <c r="P12" i="6" s="1"/>
  <c r="J32" i="4" a="1"/>
  <c r="J32" i="4" s="1"/>
  <c r="Q21" i="6" s="1"/>
  <c r="R21" i="6" s="1"/>
  <c r="F26" i="4" a="1"/>
  <c r="F26" i="4" s="1"/>
  <c r="I15" i="6" s="1"/>
  <c r="J15" i="6" s="1"/>
  <c r="I22" i="4" a="1"/>
  <c r="I22" i="4" s="1"/>
  <c r="O11" i="6" s="1"/>
  <c r="P11" i="6" s="1"/>
  <c r="J31" i="4" a="1"/>
  <c r="J31" i="4" s="1"/>
  <c r="Q20" i="6" s="1"/>
  <c r="R20" i="6" s="1"/>
  <c r="F18" i="4" a="1"/>
  <c r="F18" i="4" s="1"/>
  <c r="I7" i="6" s="1"/>
  <c r="J7" i="6" s="1"/>
  <c r="I28" i="4" a="1"/>
  <c r="I28" i="4" s="1"/>
  <c r="O17" i="6" s="1"/>
  <c r="P17" i="6" s="1"/>
  <c r="F24" i="4" a="1"/>
  <c r="F24" i="4" s="1"/>
  <c r="I13" i="6" s="1"/>
  <c r="J13" i="6" s="1"/>
  <c r="G33" i="4" a="1"/>
  <c r="G33" i="4" s="1"/>
  <c r="K22" i="6" s="1"/>
  <c r="L22" i="6" s="1"/>
  <c r="G36" i="4" a="1"/>
  <c r="G36" i="4" s="1"/>
  <c r="K25" i="6" s="1"/>
  <c r="L25" i="6" s="1"/>
  <c r="J20" i="4" a="1"/>
  <c r="J20" i="4" s="1"/>
  <c r="Q9" i="6" s="1"/>
  <c r="R9" i="6" s="1"/>
  <c r="F23" i="4" a="1"/>
  <c r="F23" i="4" s="1"/>
  <c r="I12" i="6" s="1"/>
  <c r="J12" i="6" s="1"/>
  <c r="G32" i="4" a="1"/>
  <c r="G32" i="4" s="1"/>
  <c r="K21" i="6" s="1"/>
  <c r="L21" i="6" s="1"/>
  <c r="G27" i="4" a="1"/>
  <c r="G27" i="4" s="1"/>
  <c r="K16" i="6" s="1"/>
  <c r="L16" i="6" s="1"/>
  <c r="I17" i="4" a="1"/>
  <c r="I17" i="4" s="1"/>
  <c r="O6" i="6" s="1"/>
  <c r="P6" i="6" s="1"/>
  <c r="J26" i="4" a="1"/>
  <c r="J26" i="4" s="1"/>
  <c r="Q15" i="6" s="1"/>
  <c r="R15" i="6" s="1"/>
  <c r="D36" i="4" a="1"/>
  <c r="D36" i="4" s="1"/>
  <c r="E25" i="6" s="1"/>
  <c r="F25" i="6" s="1"/>
  <c r="J21" i="4" a="1"/>
  <c r="J21" i="4" s="1"/>
  <c r="Q10" i="6" s="1"/>
  <c r="R10" i="6" s="1"/>
  <c r="F21" i="4" a="1"/>
  <c r="F21" i="4" s="1"/>
  <c r="I10" i="6" s="1"/>
  <c r="J10" i="6" s="1"/>
  <c r="G30" i="4" a="1"/>
  <c r="G30" i="4" s="1"/>
  <c r="K19" i="6" s="1"/>
  <c r="L19" i="6" s="1"/>
  <c r="I15" i="4" a="1"/>
  <c r="I15" i="4" s="1"/>
  <c r="I36" i="4" a="1"/>
  <c r="I36" i="4" s="1"/>
  <c r="O25" i="6" s="1"/>
  <c r="P25" i="6" s="1"/>
  <c r="J24" i="4" a="1"/>
  <c r="J24" i="4" s="1"/>
  <c r="Q13" i="6" s="1"/>
  <c r="R13" i="6" s="1"/>
  <c r="D34" i="4" a="1"/>
  <c r="D34" i="4" s="1"/>
  <c r="E23" i="6" s="1"/>
  <c r="F23" i="6" s="1"/>
  <c r="E33" i="4" a="1"/>
  <c r="E33" i="4" s="1"/>
  <c r="G22" i="6" s="1"/>
  <c r="H22" i="6" s="1"/>
  <c r="J23" i="4" a="1"/>
  <c r="J23" i="4" s="1"/>
  <c r="Q12" i="6" s="1"/>
  <c r="R12" i="6" s="1"/>
  <c r="D33" i="4" a="1"/>
  <c r="D33" i="4" s="1"/>
  <c r="E22" i="6" s="1"/>
  <c r="F22" i="6" s="1"/>
  <c r="J22" i="4" a="1"/>
  <c r="J22" i="4" s="1"/>
  <c r="Q11" i="6" s="1"/>
  <c r="R11" i="6" s="1"/>
  <c r="F16" i="4" a="1"/>
  <c r="F16" i="4" s="1"/>
  <c r="I5" i="6" s="1"/>
  <c r="J5" i="6" s="1"/>
  <c r="G25" i="4" a="1"/>
  <c r="G25" i="4" s="1"/>
  <c r="K14" i="6" s="1"/>
  <c r="L14" i="6" s="1"/>
  <c r="H34" i="4" a="1"/>
  <c r="H34" i="4" s="1"/>
  <c r="M23" i="6" s="1"/>
  <c r="N23" i="6" s="1"/>
  <c r="F25" i="4" a="1"/>
  <c r="F25" i="4" s="1"/>
  <c r="I14" i="6" s="1"/>
  <c r="J14" i="6" s="1"/>
  <c r="I20" i="4" a="1"/>
  <c r="I20" i="4" s="1"/>
  <c r="O9" i="6" s="1"/>
  <c r="P9" i="6" s="1"/>
  <c r="D30" i="4" a="1"/>
  <c r="D30" i="4" s="1"/>
  <c r="E19" i="6" s="1"/>
  <c r="F19" i="6" s="1"/>
  <c r="G24" i="4" a="1"/>
  <c r="G24" i="4" s="1"/>
  <c r="K13" i="6" s="1"/>
  <c r="L13" i="6" s="1"/>
  <c r="H33" i="4" a="1"/>
  <c r="H33" i="4" s="1"/>
  <c r="M22" i="6" s="1"/>
  <c r="N22" i="6" s="1"/>
  <c r="D32" i="4" a="1"/>
  <c r="D32" i="4" s="1"/>
  <c r="E21" i="6" s="1"/>
  <c r="F21" i="6" s="1"/>
  <c r="J18" i="4" a="1"/>
  <c r="J18" i="4" s="1"/>
  <c r="Q7" i="6" s="1"/>
  <c r="R7" i="6" s="1"/>
  <c r="D28" i="4" a="1"/>
  <c r="D28" i="4" s="1"/>
  <c r="E17" i="6" s="1"/>
  <c r="F17" i="6" s="1"/>
  <c r="E37" i="4" a="1"/>
  <c r="E37" i="4" s="1"/>
  <c r="G26" i="6" s="1"/>
  <c r="H26" i="6" s="1"/>
  <c r="H27" i="4" a="1"/>
  <c r="H27" i="4" s="1"/>
  <c r="M16" i="6" s="1"/>
  <c r="N16" i="6" s="1"/>
  <c r="G22" i="4" a="1"/>
  <c r="G22" i="4" s="1"/>
  <c r="K11" i="6" s="1"/>
  <c r="L11" i="6" s="1"/>
  <c r="H31" i="4" a="1"/>
  <c r="H31" i="4" s="1"/>
  <c r="M20" i="6" s="1"/>
  <c r="N20" i="6" s="1"/>
  <c r="E17" i="4" a="1"/>
  <c r="E17" i="4" s="1"/>
  <c r="G6" i="6" s="1"/>
  <c r="H6" i="6" s="1"/>
  <c r="J16" i="4" a="1"/>
  <c r="J16" i="4" s="1"/>
  <c r="Q5" i="6" s="1"/>
  <c r="R5" i="6" s="1"/>
  <c r="D26" i="4" a="1"/>
  <c r="D26" i="4" s="1"/>
  <c r="E15" i="6" s="1"/>
  <c r="F15" i="6" s="1"/>
  <c r="E35" i="4" a="1"/>
  <c r="E35" i="4" s="1"/>
  <c r="G24" i="6" s="1"/>
  <c r="H24" i="6" s="1"/>
  <c r="E16" i="4" a="1"/>
  <c r="E16" i="4" s="1"/>
  <c r="G5" i="6" s="1"/>
  <c r="H5" i="6" s="1"/>
  <c r="D25" i="4" a="1"/>
  <c r="D25" i="4" s="1"/>
  <c r="E14" i="6" s="1"/>
  <c r="F14" i="6" s="1"/>
  <c r="E34" i="4" a="1"/>
  <c r="E34" i="4" s="1"/>
  <c r="G23" i="6" s="1"/>
  <c r="H23" i="6" s="1"/>
  <c r="I29" i="4" a="1"/>
  <c r="I29" i="4" s="1"/>
  <c r="O18" i="6" s="1"/>
  <c r="P18" i="6" s="1"/>
  <c r="G17" i="4" a="1"/>
  <c r="G17" i="4" s="1"/>
  <c r="K6" i="6" s="1"/>
  <c r="L6" i="6" s="1"/>
  <c r="H26" i="4" a="1"/>
  <c r="H26" i="4" s="1"/>
  <c r="M15" i="6" s="1"/>
  <c r="N15" i="6" s="1"/>
  <c r="I35" i="4" a="1"/>
  <c r="I35" i="4" s="1"/>
  <c r="O24" i="6" s="1"/>
  <c r="P24" i="6" s="1"/>
  <c r="E32" i="4" a="1"/>
  <c r="E32" i="4" s="1"/>
  <c r="G21" i="6" s="1"/>
  <c r="H21" i="6" s="1"/>
  <c r="E18" i="4" a="1"/>
  <c r="E18" i="4" s="1"/>
  <c r="G7" i="6" s="1"/>
  <c r="H7" i="6" s="1"/>
  <c r="H37" i="4" a="1"/>
  <c r="H37" i="4" s="1"/>
  <c r="M26" i="6" s="1"/>
  <c r="N26" i="6" s="1"/>
  <c r="I1" i="1"/>
  <c r="M2" i="6"/>
  <c r="D39" i="4" a="1"/>
  <c r="D39" i="4" s="1"/>
  <c r="E7" i="6"/>
  <c r="F7" i="6" s="1"/>
  <c r="D40" i="4" a="1"/>
  <c r="D40" i="4" s="1"/>
  <c r="E12" i="6"/>
  <c r="F12" i="6" s="1"/>
  <c r="E13" i="6"/>
  <c r="F13" i="6" s="1"/>
  <c r="E5" i="6"/>
  <c r="F5" i="6" s="1"/>
  <c r="Q4" i="6" l="1"/>
  <c r="R4" i="6" s="1"/>
  <c r="O4" i="6"/>
  <c r="P4" i="6" s="1"/>
  <c r="A123" i="2"/>
  <c r="Z93" i="2"/>
  <c r="M4" i="6"/>
  <c r="N4" i="6" s="1"/>
  <c r="K4" i="6"/>
  <c r="L4" i="6" s="1"/>
  <c r="K121" i="2" s="1"/>
  <c r="I4" i="6"/>
  <c r="J4" i="6" s="1"/>
  <c r="G4" i="6"/>
  <c r="H4" i="6" s="1"/>
  <c r="M61" i="2" s="1"/>
  <c r="J1" i="1"/>
  <c r="Q2" i="6" s="1"/>
  <c r="O2" i="6"/>
  <c r="E4" i="6"/>
  <c r="I61" i="2" l="1"/>
  <c r="F61" i="2"/>
  <c r="H61" i="2"/>
  <c r="C61" i="2"/>
  <c r="D121" i="2"/>
  <c r="F121" i="2"/>
  <c r="I121" i="2"/>
  <c r="J193" i="2"/>
  <c r="L193" i="2"/>
  <c r="G193" i="2"/>
  <c r="B181" i="2"/>
  <c r="D181" i="2"/>
  <c r="G181" i="2"/>
  <c r="E91" i="2"/>
  <c r="G91" i="2"/>
  <c r="B91" i="2"/>
  <c r="C151" i="2"/>
  <c r="E151" i="2"/>
  <c r="N151" i="2"/>
  <c r="N61" i="2"/>
  <c r="P61" i="2"/>
  <c r="K61" i="2"/>
  <c r="L121" i="2"/>
  <c r="N121" i="2"/>
  <c r="Q121" i="2"/>
  <c r="R193" i="2"/>
  <c r="T193" i="2"/>
  <c r="O193" i="2"/>
  <c r="J181" i="2"/>
  <c r="L181" i="2"/>
  <c r="O181" i="2"/>
  <c r="M91" i="2"/>
  <c r="O91" i="2"/>
  <c r="J91" i="2"/>
  <c r="K151" i="2"/>
  <c r="M151" i="2"/>
  <c r="H151" i="2"/>
  <c r="V61" i="2"/>
  <c r="X61" i="2"/>
  <c r="S61" i="2"/>
  <c r="T121" i="2"/>
  <c r="V121" i="2"/>
  <c r="Y121" i="2"/>
  <c r="C193" i="2"/>
  <c r="U193" i="2"/>
  <c r="W193" i="2"/>
  <c r="R181" i="2"/>
  <c r="T181" i="2"/>
  <c r="W181" i="2"/>
  <c r="U91" i="2"/>
  <c r="W91" i="2"/>
  <c r="R91" i="2"/>
  <c r="S151" i="2"/>
  <c r="U151" i="2"/>
  <c r="P151" i="2"/>
  <c r="E61" i="2"/>
  <c r="Q61" i="2"/>
  <c r="Y61" i="2"/>
  <c r="O121" i="2"/>
  <c r="W121" i="2"/>
  <c r="K193" i="2"/>
  <c r="E193" i="2"/>
  <c r="H193" i="2"/>
  <c r="I181" i="2"/>
  <c r="M181" i="2"/>
  <c r="E181" i="2"/>
  <c r="T91" i="2"/>
  <c r="P91" i="2"/>
  <c r="X91" i="2"/>
  <c r="D151" i="2"/>
  <c r="F151" i="2"/>
  <c r="X151" i="2"/>
  <c r="U61" i="2"/>
  <c r="S121" i="2"/>
  <c r="G61" i="2"/>
  <c r="B61" i="2"/>
  <c r="D61" i="2"/>
  <c r="E121" i="2"/>
  <c r="H121" i="2"/>
  <c r="B121" i="2"/>
  <c r="S193" i="2"/>
  <c r="M193" i="2"/>
  <c r="P193" i="2"/>
  <c r="C181" i="2"/>
  <c r="U181" i="2"/>
  <c r="H181" i="2"/>
  <c r="F91" i="2"/>
  <c r="I91" i="2"/>
  <c r="C91" i="2"/>
  <c r="L151" i="2"/>
  <c r="V151" i="2"/>
  <c r="I151" i="2"/>
  <c r="O61" i="2"/>
  <c r="J61" i="2"/>
  <c r="L61" i="2"/>
  <c r="M121" i="2"/>
  <c r="P121" i="2"/>
  <c r="J121" i="2"/>
  <c r="I193" i="2"/>
  <c r="F193" i="2"/>
  <c r="X193" i="2"/>
  <c r="K181" i="2"/>
  <c r="F181" i="2"/>
  <c r="P181" i="2"/>
  <c r="N91" i="2"/>
  <c r="Q91" i="2"/>
  <c r="K91" i="2"/>
  <c r="T151" i="2"/>
  <c r="G151" i="2"/>
  <c r="Q151" i="2"/>
  <c r="W61" i="2"/>
  <c r="R61" i="2"/>
  <c r="T61" i="2"/>
  <c r="U121" i="2"/>
  <c r="X121" i="2"/>
  <c r="R121" i="2"/>
  <c r="Q193" i="2"/>
  <c r="N193" i="2"/>
  <c r="Y193" i="2"/>
  <c r="S181" i="2"/>
  <c r="N181" i="2"/>
  <c r="X181" i="2"/>
  <c r="V91" i="2"/>
  <c r="Y91" i="2"/>
  <c r="S91" i="2"/>
  <c r="B151" i="2"/>
  <c r="O151" i="2"/>
  <c r="Y151" i="2"/>
  <c r="C121" i="2"/>
  <c r="G121" i="2"/>
  <c r="B193" i="2"/>
  <c r="D193" i="2"/>
  <c r="V193" i="2"/>
  <c r="Y181" i="2"/>
  <c r="Q181" i="2"/>
  <c r="V181" i="2"/>
  <c r="L91" i="2"/>
  <c r="D91" i="2"/>
  <c r="H91" i="2"/>
  <c r="J151" i="2"/>
  <c r="R151" i="2"/>
  <c r="W151" i="2"/>
  <c r="A153" i="2"/>
  <c r="Z123" i="2"/>
  <c r="F4" i="6"/>
  <c r="F31" i="2" s="1"/>
  <c r="B31" i="2" l="1"/>
  <c r="Z153" i="2"/>
  <c r="A183" i="2"/>
  <c r="Z183" i="2" s="1"/>
  <c r="L31" i="2"/>
  <c r="E31" i="2"/>
  <c r="G31" i="2"/>
  <c r="V31" i="2"/>
  <c r="P31" i="2"/>
  <c r="K31" i="2"/>
  <c r="W31" i="2"/>
  <c r="I31" i="2"/>
  <c r="H31" i="2"/>
  <c r="S31" i="2"/>
  <c r="Y31" i="2"/>
  <c r="Q31" i="2"/>
  <c r="R31" i="2"/>
  <c r="O31" i="2"/>
  <c r="M31" i="2"/>
  <c r="D31" i="2"/>
  <c r="J31" i="2"/>
  <c r="T31" i="2"/>
  <c r="U31" i="2"/>
  <c r="X31" i="2"/>
  <c r="N31" i="2"/>
  <c r="C3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tc={3F11AEC9-40AF-4FB3-9DDB-8FCCBD668DD3}</author>
    <author>松井直哉</author>
  </authors>
  <commentList>
    <comment ref="D1" authorId="0" shapeId="0" xr:uid="{3F11AEC9-40AF-4FB3-9DDB-8FCCBD668DD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この日付がシフト作成の都合上違う場合はこの日付だけ変えてください</t>
      </text>
    </comment>
    <comment ref="B33" authorId="1" shapeId="0" xr:uid="{5AA1973F-C186-4A3A-956F-1C70202D2DA9}">
      <text>
        <r>
          <rPr>
            <b/>
            <sz val="9"/>
            <color indexed="81"/>
            <rFont val="MS P ゴシック"/>
            <family val="3"/>
            <charset val="128"/>
          </rPr>
          <t>松井直哉:</t>
        </r>
        <r>
          <rPr>
            <sz val="9"/>
            <color indexed="81"/>
            <rFont val="MS P ゴシック"/>
            <family val="3"/>
            <charset val="128"/>
          </rPr>
          <t xml:space="preserve">
見習欄を念の為B30まで拡張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tc={6551DA91-BDA1-46C3-887E-D2963E40477B}</author>
    <author>tc={C15F8790-8E10-4EB1-9891-DFFB190B3187}</author>
    <author>tc={8D9A9ADC-4800-4849-A052-C2E6E24F965B}</author>
  </authors>
  <commentList>
    <comment ref="D1" authorId="0" shapeId="0" xr:uid="{6551DA91-BDA1-46C3-887E-D2963E40477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この日付がシフト作成の都合上違う場合はこの日付だけ変えてください</t>
      </text>
    </comment>
    <comment ref="M7" authorId="1" shapeId="0" xr:uid="{C15F8790-8E10-4EB1-9891-DFFB190B318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名前の下に~21:00を追加しロングであることを示すプルダウンメニューを作成するために必要</t>
      </text>
    </comment>
    <comment ref="D8" authorId="2" shapeId="0" xr:uid="{8D9A9ADC-4800-4849-A052-C2E6E24F965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超早ロングを考慮し、矢印を使った方法から名前と自国に変更するかもしれない</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tc={30FB9FE5-B422-43CE-8A24-8EEC4BC3BF48}</author>
    <author>松井直哉</author>
  </authors>
  <commentList>
    <comment ref="D1" authorId="0" shapeId="0" xr:uid="{30FB9FE5-B422-43CE-8A24-8EEC4BC3BF4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この日付がシフト作成の都合上違う場合はこの日付だけ変えてください</t>
      </text>
    </comment>
    <comment ref="B33" authorId="1" shapeId="0" xr:uid="{0733310C-F5D1-43F9-A076-1DE0F6818806}">
      <text>
        <r>
          <rPr>
            <b/>
            <sz val="9"/>
            <color indexed="81"/>
            <rFont val="MS P ゴシック"/>
            <family val="3"/>
            <charset val="128"/>
          </rPr>
          <t>松井直哉:</t>
        </r>
        <r>
          <rPr>
            <sz val="9"/>
            <color indexed="81"/>
            <rFont val="MS P ゴシック"/>
            <family val="3"/>
            <charset val="128"/>
          </rPr>
          <t xml:space="preserve">
見習欄を念の為B30まで拡張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tc={0B705460-85CB-4867-A562-3C44128D3F99}</author>
  </authors>
  <commentList>
    <comment ref="C1" authorId="0" shapeId="0" xr:uid="{0B705460-85CB-4867-A562-3C44128D3F9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この日付がシフト作成の都合上違う場合はこの日付だけ変えてください</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<sst xmlns="http://schemas.openxmlformats.org/spreadsheetml/2006/main" count="487" uniqueCount="230">
  <si>
    <t>河原町</t>
  </si>
  <si>
    <t>遅番</t>
  </si>
  <si>
    <t>駅名</t>
    <rPh sb="0" eb="2">
      <t>エキメイ</t>
    </rPh>
    <phoneticPr fontId="7"/>
  </si>
  <si>
    <t>時間</t>
    <rPh sb="0" eb="2">
      <t>ジカン</t>
    </rPh>
    <phoneticPr fontId="7"/>
  </si>
  <si>
    <t>烏丸</t>
    <rPh sb="0" eb="2">
      <t>カラスマ</t>
    </rPh>
    <phoneticPr fontId="7"/>
  </si>
  <si>
    <t>早番</t>
    <phoneticPr fontId="7"/>
  </si>
  <si>
    <t>-</t>
    <phoneticPr fontId="1"/>
  </si>
  <si>
    <t>大宮上り</t>
    <phoneticPr fontId="7"/>
  </si>
  <si>
    <t>操車</t>
    <rPh sb="0" eb="2">
      <t>ソウシャ</t>
    </rPh>
    <phoneticPr fontId="7"/>
  </si>
  <si>
    <t>折防早番</t>
    <rPh sb="0" eb="2">
      <t>オリボウ</t>
    </rPh>
    <rPh sb="2" eb="4">
      <t>ハヤバン</t>
    </rPh>
    <phoneticPr fontId="7"/>
  </si>
  <si>
    <t>折防遅番</t>
    <rPh sb="0" eb="2">
      <t>オリボウ</t>
    </rPh>
    <rPh sb="2" eb="4">
      <t>オソバン</t>
    </rPh>
    <phoneticPr fontId="7"/>
  </si>
  <si>
    <t>西院下り</t>
    <rPh sb="0" eb="2">
      <t>サイイン</t>
    </rPh>
    <rPh sb="2" eb="3">
      <t>クダ</t>
    </rPh>
    <phoneticPr fontId="7"/>
  </si>
  <si>
    <t>14:00～20:00</t>
    <phoneticPr fontId="7"/>
  </si>
  <si>
    <t>15:50～19:00</t>
    <phoneticPr fontId="7"/>
  </si>
  <si>
    <t>17:00～21:00</t>
    <phoneticPr fontId="7"/>
  </si>
  <si>
    <t>超早</t>
    <rPh sb="0" eb="1">
      <t>チョウ</t>
    </rPh>
    <rPh sb="1" eb="2">
      <t>ハヤ</t>
    </rPh>
    <phoneticPr fontId="7"/>
  </si>
  <si>
    <t>16:30～19:00</t>
    <phoneticPr fontId="7"/>
  </si>
  <si>
    <t>17:00～19:00</t>
    <phoneticPr fontId="7"/>
  </si>
  <si>
    <t>16:20～19:20</t>
    <phoneticPr fontId="7"/>
  </si>
  <si>
    <t>京都河原町</t>
    <rPh sb="0" eb="2">
      <t>キョウト</t>
    </rPh>
    <rPh sb="2" eb="5">
      <t>カワラマチ</t>
    </rPh>
    <phoneticPr fontId="1"/>
  </si>
  <si>
    <t>烏丸</t>
    <rPh sb="0" eb="2">
      <t>カラスマ</t>
    </rPh>
    <phoneticPr fontId="1"/>
  </si>
  <si>
    <t>大宮</t>
    <rPh sb="0" eb="2">
      <t>オオミヤ</t>
    </rPh>
    <phoneticPr fontId="1"/>
  </si>
  <si>
    <t>西院</t>
    <rPh sb="0" eb="2">
      <t>サイイン</t>
    </rPh>
    <phoneticPr fontId="1"/>
  </si>
  <si>
    <t>桂</t>
    <rPh sb="0" eb="1">
      <t>カツラ</t>
    </rPh>
    <phoneticPr fontId="1"/>
  </si>
  <si>
    <t>相原</t>
  </si>
  <si>
    <t>河口</t>
  </si>
  <si>
    <t>坂本</t>
  </si>
  <si>
    <t>高見</t>
  </si>
  <si>
    <t>丹羽</t>
  </si>
  <si>
    <t>岸本</t>
  </si>
  <si>
    <t>上山</t>
  </si>
  <si>
    <t>甲斐</t>
  </si>
  <si>
    <t>河崎</t>
  </si>
  <si>
    <t>今泉</t>
  </si>
  <si>
    <t>和泉</t>
  </si>
  <si>
    <t>伊沢</t>
  </si>
  <si>
    <t>谷川</t>
  </si>
  <si>
    <t>玉井</t>
  </si>
  <si>
    <t>倉持</t>
  </si>
  <si>
    <t>三橋</t>
  </si>
  <si>
    <t>塩沢</t>
  </si>
  <si>
    <t>勝田</t>
  </si>
  <si>
    <t>杉本</t>
  </si>
  <si>
    <t>勝又</t>
  </si>
  <si>
    <t>浜口</t>
  </si>
  <si>
    <t>井本</t>
  </si>
  <si>
    <t>武田</t>
  </si>
  <si>
    <t>小玉</t>
  </si>
  <si>
    <t>黒崎</t>
  </si>
  <si>
    <t>今井</t>
  </si>
  <si>
    <t>佐久間</t>
  </si>
  <si>
    <t>佐久間</t>
    <phoneticPr fontId="7"/>
  </si>
  <si>
    <t>※A列に年休と入れると、B列の見習が自動的に非表示になる</t>
    <rPh sb="2" eb="3">
      <t>レツ</t>
    </rPh>
    <rPh sb="4" eb="6">
      <t>ネンキュウ</t>
    </rPh>
    <rPh sb="7" eb="8">
      <t>イ</t>
    </rPh>
    <rPh sb="13" eb="14">
      <t>レツ</t>
    </rPh>
    <rPh sb="15" eb="17">
      <t>ミナライ</t>
    </rPh>
    <rPh sb="18" eb="21">
      <t>ジドウテキ</t>
    </rPh>
    <rPh sb="22" eb="25">
      <t>ヒヒョウジ</t>
    </rPh>
    <phoneticPr fontId="7"/>
  </si>
  <si>
    <t>白鳥</t>
  </si>
  <si>
    <t>飯野</t>
  </si>
  <si>
    <t>田淵</t>
  </si>
  <si>
    <t>服部</t>
  </si>
  <si>
    <t>熊田</t>
  </si>
  <si>
    <t>浅川</t>
  </si>
  <si>
    <t>小菅</t>
  </si>
  <si>
    <t>稲田</t>
  </si>
  <si>
    <t>上野</t>
  </si>
  <si>
    <t>福地</t>
  </si>
  <si>
    <t>森岡</t>
  </si>
  <si>
    <t>藤村</t>
  </si>
  <si>
    <t>那須</t>
  </si>
  <si>
    <t>河野</t>
  </si>
  <si>
    <t>太田</t>
  </si>
  <si>
    <t>赤井</t>
  </si>
  <si>
    <t>門脇</t>
  </si>
  <si>
    <t>荒井</t>
  </si>
  <si>
    <t>東野</t>
  </si>
  <si>
    <t>藤田</t>
  </si>
  <si>
    <t>米田</t>
  </si>
  <si>
    <t>原</t>
  </si>
  <si>
    <t>土橋</t>
  </si>
  <si>
    <t>富田</t>
  </si>
  <si>
    <t>西脇</t>
  </si>
  <si>
    <t>長沼</t>
  </si>
  <si>
    <t>菅原</t>
  </si>
  <si>
    <t>片野</t>
  </si>
  <si>
    <t>五味</t>
  </si>
  <si>
    <t>三上</t>
  </si>
  <si>
    <t>神谷</t>
  </si>
  <si>
    <t>二瓶</t>
  </si>
  <si>
    <t>北原</t>
  </si>
  <si>
    <t>相良</t>
  </si>
  <si>
    <t>黒木</t>
  </si>
  <si>
    <t>三谷</t>
  </si>
  <si>
    <t>菅井</t>
  </si>
  <si>
    <t>土田</t>
  </si>
  <si>
    <t>塚原</t>
  </si>
  <si>
    <t>↓
(～21:00)</t>
  </si>
  <si>
    <t>-</t>
    <phoneticPr fontId="1"/>
  </si>
  <si>
    <t>↓
(～20:30)</t>
  </si>
  <si>
    <t>二人体制</t>
    <rPh sb="0" eb="4">
      <t>フタリタイセイ</t>
    </rPh>
    <phoneticPr fontId="7"/>
  </si>
  <si>
    <t>三人体制</t>
    <rPh sb="0" eb="4">
      <t>サンニンタイ</t>
    </rPh>
    <phoneticPr fontId="7"/>
  </si>
  <si>
    <t>黒木</t>
    <rPh sb="0" eb="2">
      <t>クロキ</t>
    </rPh>
    <phoneticPr fontId="7"/>
  </si>
  <si>
    <t>黒木
(～21:00)</t>
  </si>
  <si>
    <t>相原
(～21:00)</t>
  </si>
  <si>
    <t>-</t>
    <phoneticPr fontId="1"/>
  </si>
  <si>
    <t>-</t>
    <phoneticPr fontId="1"/>
  </si>
  <si>
    <t>-</t>
    <phoneticPr fontId="1"/>
  </si>
  <si>
    <t>-</t>
    <phoneticPr fontId="1"/>
  </si>
  <si>
    <t>お待たせしました。次週の夕勤シフトを発表いたします。必ず最後までお読みください。</t>
    <rPh sb="12" eb="13">
      <t>ユウ</t>
    </rPh>
    <phoneticPr fontId="1"/>
  </si>
  <si>
    <t>年休欄</t>
    <rPh sb="0" eb="2">
      <t>ネンキュウ</t>
    </rPh>
    <rPh sb="2" eb="3">
      <t>ラン</t>
    </rPh>
    <phoneticPr fontId="1"/>
  </si>
  <si>
    <t>ID</t>
    <phoneticPr fontId="1"/>
  </si>
  <si>
    <t>Name</t>
    <phoneticPr fontId="1"/>
  </si>
  <si>
    <t>名前</t>
    <rPh sb="0" eb="2">
      <t>ナマエ</t>
    </rPh>
    <phoneticPr fontId="1"/>
  </si>
  <si>
    <t>名前からIDを出す</t>
    <rPh sb="0" eb="2">
      <t>ナマエ</t>
    </rPh>
    <rPh sb="7" eb="8">
      <t>ダ</t>
    </rPh>
    <phoneticPr fontId="1"/>
  </si>
  <si>
    <t>↑ここまで</t>
    <phoneticPr fontId="1"/>
  </si>
  <si>
    <t>-</t>
    <phoneticPr fontId="1"/>
  </si>
  <si>
    <t>操車　</t>
    <rPh sb="0" eb="2">
      <t>ソウシャ</t>
    </rPh>
    <phoneticPr fontId="1"/>
  </si>
  <si>
    <t>折早　</t>
    <rPh sb="0" eb="1">
      <t>オリ</t>
    </rPh>
    <rPh sb="1" eb="2">
      <t>ハヤ</t>
    </rPh>
    <phoneticPr fontId="1"/>
  </si>
  <si>
    <t>折遅　</t>
    <rPh sb="0" eb="1">
      <t>オリ</t>
    </rPh>
    <rPh sb="1" eb="2">
      <t>オソ</t>
    </rPh>
    <phoneticPr fontId="1"/>
  </si>
  <si>
    <t>-</t>
    <phoneticPr fontId="1"/>
  </si>
  <si>
    <t>折早　</t>
    <rPh sb="0" eb="1">
      <t>オリ</t>
    </rPh>
    <phoneticPr fontId="1"/>
  </si>
  <si>
    <t>超早　</t>
    <rPh sb="0" eb="1">
      <t>チョウ</t>
    </rPh>
    <rPh sb="1" eb="2">
      <t>ハヤ</t>
    </rPh>
    <phoneticPr fontId="1"/>
  </si>
  <si>
    <t>早番　</t>
    <rPh sb="0" eb="2">
      <t>ハヤバン</t>
    </rPh>
    <phoneticPr fontId="1"/>
  </si>
  <si>
    <t>遅番　</t>
    <rPh sb="0" eb="2">
      <t>オソバン</t>
    </rPh>
    <phoneticPr fontId="1"/>
  </si>
  <si>
    <t>上り　</t>
    <rPh sb="0" eb="1">
      <t>ノボ</t>
    </rPh>
    <phoneticPr fontId="1"/>
  </si>
  <si>
    <t>下り　</t>
    <rPh sb="0" eb="1">
      <t>クダ</t>
    </rPh>
    <phoneticPr fontId="1"/>
  </si>
  <si>
    <t>★年休　</t>
    <rPh sb="1" eb="3">
      <t>ネンキュウ</t>
    </rPh>
    <phoneticPr fontId="1"/>
  </si>
  <si>
    <t>月</t>
    <rPh sb="0" eb="1">
      <t>ゲツ</t>
    </rPh>
    <phoneticPr fontId="1"/>
  </si>
  <si>
    <t>火</t>
  </si>
  <si>
    <t>水</t>
  </si>
  <si>
    <t>木</t>
  </si>
  <si>
    <t>金</t>
  </si>
  <si>
    <t>土</t>
  </si>
  <si>
    <t>日</t>
  </si>
  <si>
    <t>塚原 月</t>
  </si>
  <si>
    <t>塚原 火</t>
  </si>
  <si>
    <t>塚原 水</t>
  </si>
  <si>
    <t>塚原 木</t>
  </si>
  <si>
    <t>塚原 金</t>
  </si>
  <si>
    <t>塚原 土</t>
  </si>
  <si>
    <t>塚原 日</t>
  </si>
  <si>
    <t>土田 月</t>
  </si>
  <si>
    <t>土田 火</t>
  </si>
  <si>
    <t>土田 水</t>
  </si>
  <si>
    <t>土田 木</t>
  </si>
  <si>
    <t>土田 金</t>
  </si>
  <si>
    <t>土田 土</t>
  </si>
  <si>
    <t>土田 日</t>
  </si>
  <si>
    <t>菅井 月</t>
  </si>
  <si>
    <t>菅井 火</t>
  </si>
  <si>
    <t>菅井 水</t>
  </si>
  <si>
    <t>菅井 木</t>
  </si>
  <si>
    <t>菅井 金</t>
  </si>
  <si>
    <t>菅井 土</t>
  </si>
  <si>
    <t>菅井 日</t>
  </si>
  <si>
    <t>三谷 月</t>
  </si>
  <si>
    <t>三谷 火</t>
  </si>
  <si>
    <t>三谷 水</t>
  </si>
  <si>
    <t>三谷 木</t>
  </si>
  <si>
    <t>三谷 土</t>
  </si>
  <si>
    <t>三谷 日</t>
  </si>
  <si>
    <t>黒木 月</t>
  </si>
  <si>
    <t>黒木 火</t>
  </si>
  <si>
    <t>黒木 水</t>
  </si>
  <si>
    <t>黒木 木</t>
  </si>
  <si>
    <t>黒木 日</t>
  </si>
  <si>
    <t>相良 月</t>
  </si>
  <si>
    <t>相良 火</t>
  </si>
  <si>
    <t>相良 水</t>
  </si>
  <si>
    <t>相良 木</t>
  </si>
  <si>
    <t>相良 金</t>
  </si>
  <si>
    <t>北原 月</t>
  </si>
  <si>
    <t>北原 火</t>
  </si>
  <si>
    <t>北原 水</t>
  </si>
  <si>
    <t>北原 木</t>
  </si>
  <si>
    <t>北原 金</t>
  </si>
  <si>
    <t>北原 土</t>
  </si>
  <si>
    <t>二瓶 月</t>
  </si>
  <si>
    <t>二瓶 火</t>
  </si>
  <si>
    <t>二瓶 水</t>
  </si>
  <si>
    <t>二瓶 木</t>
  </si>
  <si>
    <t>二瓶 金</t>
  </si>
  <si>
    <t>二瓶 土</t>
  </si>
  <si>
    <t>神谷 月</t>
  </si>
  <si>
    <t>神谷 火</t>
  </si>
  <si>
    <t>神谷 水</t>
  </si>
  <si>
    <t>神谷 木</t>
  </si>
  <si>
    <t>神谷 金</t>
  </si>
  <si>
    <t>神谷 土</t>
  </si>
  <si>
    <t>三上 月</t>
  </si>
  <si>
    <t>三上 火</t>
  </si>
  <si>
    <t>三上 水</t>
  </si>
  <si>
    <t>三上 木</t>
  </si>
  <si>
    <t>三上 金</t>
  </si>
  <si>
    <t>三上 土</t>
  </si>
  <si>
    <t>五味 月</t>
  </si>
  <si>
    <t>五味 火</t>
  </si>
  <si>
    <t>五味 水</t>
  </si>
  <si>
    <t>五味 木</t>
  </si>
  <si>
    <t>五味 金</t>
  </si>
  <si>
    <t>片野 月</t>
  </si>
  <si>
    <t>片野 火</t>
  </si>
  <si>
    <t>片野 水</t>
  </si>
  <si>
    <t>片野 木</t>
  </si>
  <si>
    <t>片野 金</t>
  </si>
  <si>
    <t>菅原 月</t>
  </si>
  <si>
    <t>菅原 火</t>
  </si>
  <si>
    <t>菅原 水</t>
  </si>
  <si>
    <t>菅原 木</t>
  </si>
  <si>
    <t>菅原 金</t>
  </si>
  <si>
    <t>菅原 土</t>
  </si>
  <si>
    <t>次々週</t>
    <phoneticPr fontId="1"/>
  </si>
  <si>
    <t>～</t>
    <phoneticPr fontId="1"/>
  </si>
  <si>
    <t>までの夕勤出勤可否を</t>
    <phoneticPr fontId="1"/>
  </si>
  <si>
    <t>-</t>
    <phoneticPr fontId="1"/>
  </si>
  <si>
    <t>上り　</t>
    <phoneticPr fontId="1"/>
  </si>
  <si>
    <t>下り　</t>
    <phoneticPr fontId="1"/>
  </si>
  <si>
    <t>★年休　</t>
    <phoneticPr fontId="1"/>
  </si>
  <si>
    <t>黒木 土</t>
    <phoneticPr fontId="7"/>
  </si>
  <si>
    <t>土田 金
(～21:00)</t>
  </si>
  <si>
    <t>菅井 金
(～21:00)</t>
  </si>
  <si>
    <t>超早　</t>
    <phoneticPr fontId="1"/>
  </si>
  <si>
    <t>早番　</t>
    <phoneticPr fontId="1"/>
  </si>
  <si>
    <t>遅番　</t>
    <phoneticPr fontId="1"/>
  </si>
  <si>
    <t>aa</t>
    <phoneticPr fontId="7"/>
  </si>
  <si>
    <t>前川のメールアドレス junkistar1gmail.comまでお願いいたします。</t>
  </si>
  <si>
    <t>aaa</t>
    <phoneticPr fontId="7"/>
  </si>
  <si>
    <t>ああ</t>
    <phoneticPr fontId="7"/>
  </si>
  <si>
    <t>あああ</t>
    <phoneticPr fontId="7"/>
  </si>
  <si>
    <t>お疲れ様です。です。</t>
    <phoneticPr fontId="1"/>
  </si>
  <si>
    <t>のメールアドレスまでお願いいたします。</t>
    <phoneticPr fontId="1"/>
  </si>
  <si>
    <t>早番</t>
    <rPh sb="0" eb="2">
      <t>ハヤバン</t>
    </rPh>
    <phoneticPr fontId="7"/>
  </si>
  <si>
    <t>遅番</t>
    <rPh sb="0" eb="2">
      <t>オソバン</t>
    </rPh>
    <phoneticPr fontId="7"/>
  </si>
  <si>
    <t>までにに送ってください。</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</si>
</sst>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76" formatCode="m&quot;月&quot;d&quot;日&quot;\(aaa\)"/>
    <numFmt numFmtId="177" formatCode="&quot;〇&quot;m&quot;/&quot;d\(aaa\)"/>
    <numFmt numFmtId="178" formatCode="&quot;○&quot;@"/>
    <numFmt numFmtId="179" formatCode=";;;"/>
    <numFmt numFmtId="180" formatCode="&quot;〇&quot;m&quot;月&quot;d&quot;日&quot;\(aaaa\)"/>
    <numFmt numFmtId="181" formatCode="m&quot;月&quot;d&quot;日&quot;\(aaaa\)"/>
  </numFmts>
  <fonts count="16">
    <font>
      <sz val="11"/>
      <color theme="1"/>
      <name val="游ゴシック"/>
      <family val="2"/>
      <charset val="128"/>
      <scheme val="minor"/>
    </font>
    <font>
      <sz val="6"/>
      <name val="游ゴシック"/>
      <family val="2"/>
      <charset val="128"/>
      <scheme val="minor"/>
    </font>
    <font>
      <sz val="11"/>
      <name val="游ゴシック"/>
      <family val="3"/>
      <charset val="128"/>
      <scheme val="minor"/>
    </font>
    <font>
      <sz val="9"/>
      <color indexed="81"/>
      <name val="MS P ゴシック"/>
      <family val="3"/>
      <charset val="128"/>
    </font>
    <font>
      <b/>
      <sz val="9"/>
      <color indexed="81"/>
      <name val="MS P ゴシック"/>
      <family val="3"/>
      <charset val="128"/>
    </font>
    <font>
      <sz val="10"/>
      <color rgb="FF000000"/>
      <name val="Times New Roman"/>
      <family val="1"/>
    </font>
    <font>
      <sz val="12"/>
      <name val="ＭＳ 明朝"/>
      <family val="1"/>
      <charset val="128"/>
    </font>
    <font>
      <sz val="6"/>
      <name val="ＭＳ Ｐゴシック"/>
      <family val="3"/>
      <charset val="128"/>
    </font>
    <font>
      <sz val="12"/>
      <color rgb="FF000000"/>
      <name val="ＭＳ 明朝"/>
      <family val="1"/>
      <charset val="128"/>
    </font>
    <font>
      <sz val="12"/>
      <name val="Meiryo UI"/>
      <family val="3"/>
      <charset val="128"/>
    </font>
    <font>
      <sz val="8"/>
      <name val="Meiryo UI"/>
      <family val="3"/>
      <charset val="128"/>
    </font>
    <font>
      <sz val="12"/>
      <color rgb="FF000000"/>
      <name val="Meiryo UI"/>
      <family val="3"/>
      <charset val="128"/>
    </font>
    <font>
      <sz val="8"/>
      <color rgb="FF000000"/>
      <name val="Meiryo UI"/>
      <family val="3"/>
      <charset val="128"/>
    </font>
    <font>
      <sz val="6"/>
      <name val="Meiryo UI"/>
      <family val="3"/>
      <charset val="128"/>
    </font>
    <font>
      <sz val="11"/>
      <name val="Meiryo UI"/>
      <family val="3"/>
      <charset val="128"/>
    </font>
    <font>
      <sz val="10"/>
      <color theme="1"/>
      <name val="游ゴシック"/>
      <family val="3"/>
      <charset val="128"/>
      <scheme val="minor"/>
    </font>
  </fonts>
  <fills count="2">
    <fill>
      <patternFill patternType="none"/>
    </fill>
    <fill>
      <patternFill patternType="gray125"/>
    </fill>
  </fills>
  <borders count="91">
    <border>
      <left/>
      <right/>
      <top/>
      <bottom/>
      <diagonal/>
    </border>
    <border>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right style="thin">
        <color rgb="FF000000"/>
      </right>
      <top/>
      <bottom style="double">
        <color rgb="FF000000"/>
      </bottom>
      <diagonal/>
    </border>
    <border>
      <left style="thin">
        <color rgb="FF000000"/>
      </left>
      <right style="thin">
        <color rgb="FF000000"/>
      </right>
      <top style="double">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dotted">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double">
        <color rgb="FF000000"/>
      </bottom>
      <diagonal/>
    </border>
    <border>
      <left/>
      <right style="thin">
        <color rgb="FF000000"/>
      </right>
      <top style="double">
        <color rgb="FF000000"/>
      </top>
      <bottom style="double">
        <color rgb="FF000000"/>
      </bottom>
      <diagonal/>
    </border>
    <border>
      <left style="thin">
        <color rgb="FF000000"/>
      </left>
      <right style="thin">
        <color rgb="FF000000"/>
      </right>
      <top style="double">
        <color rgb="FF000000"/>
      </top>
      <bottom style="double">
        <color rgb="FF000000"/>
      </bottom>
      <diagonal/>
    </border>
    <border diagonalUp="1">
      <left style="thin">
        <color rgb="FF000000"/>
      </left>
      <right style="thin">
        <color rgb="FF000000"/>
      </right>
      <top style="double">
        <color rgb="FF000000"/>
      </top>
      <bottom style="double">
        <color rgb="FF000000"/>
      </bottom>
      <diagonal style="thin">
        <color rgb="FF000000"/>
      </diagonal>
    </border>
    <border>
      <left/>
      <right style="thin">
        <color rgb="FF000000"/>
      </right>
      <top style="double">
        <color rgb="FF000000"/>
      </top>
      <bottom/>
      <diagonal/>
    </border>
    <border>
      <left/>
      <right style="thin">
        <color rgb="FF000000"/>
      </right>
      <top style="double">
        <color rgb="FF000000"/>
      </top>
      <bottom style="medium">
        <color indexed="64"/>
      </bottom>
      <diagonal/>
    </border>
    <border>
      <left style="thin">
        <color rgb="FF000000"/>
      </left>
      <right style="thin">
        <color rgb="FF000000"/>
      </right>
      <top style="double">
        <color rgb="FF000000"/>
      </top>
      <bottom style="medium">
        <color indexed="64"/>
      </bottom>
      <diagonal/>
    </border>
    <border>
      <left/>
      <right style="thin">
        <color rgb="FF000000"/>
      </right>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double">
        <color indexed="64"/>
      </bottom>
      <diagonal/>
    </border>
    <border>
      <left/>
      <right style="thin">
        <color rgb="FF000000"/>
      </right>
      <top style="double">
        <color rgb="FF000000"/>
      </top>
      <bottom style="double">
        <color indexed="64"/>
      </bottom>
      <diagonal/>
    </border>
    <border>
      <left style="thin">
        <color rgb="FF000000"/>
      </left>
      <right style="thin">
        <color rgb="FF000000"/>
      </right>
      <top style="double">
        <color rgb="FF000000"/>
      </top>
      <bottom style="double">
        <color indexed="64"/>
      </bottom>
      <diagonal/>
    </border>
    <border>
      <left/>
      <right style="thin">
        <color rgb="FF000000"/>
      </right>
      <top style="double">
        <color indexed="64"/>
      </top>
      <bottom style="double">
        <color indexed="64"/>
      </bottom>
      <diagonal/>
    </border>
    <border>
      <left style="thin">
        <color rgb="FF000000"/>
      </left>
      <right style="thin">
        <color rgb="FF000000"/>
      </right>
      <top style="double">
        <color indexed="64"/>
      </top>
      <bottom style="double">
        <color indexed="64"/>
      </bottom>
      <diagonal/>
    </border>
    <border>
      <left/>
      <right style="thin">
        <color rgb="FF000000"/>
      </right>
      <top style="thin">
        <color rgb="FF000000"/>
      </top>
      <bottom style="thin">
        <color rgb="FF000000"/>
      </bottom>
      <diagonal/>
    </border>
    <border>
      <left/>
      <right style="thin">
        <color rgb="FF000000"/>
      </right>
      <top style="dotted">
        <color rgb="FF000000"/>
      </top>
      <bottom style="thin">
        <color rgb="FF000000"/>
      </bottom>
      <diagonal/>
    </border>
    <border>
      <left style="thin">
        <color rgb="FF000000"/>
      </left>
      <right style="thin">
        <color theme="1"/>
      </right>
      <top style="thin">
        <color rgb="FF000000"/>
      </top>
      <bottom style="thin">
        <color rgb="FF000000"/>
      </bottom>
      <diagonal/>
    </border>
    <border>
      <left style="thin">
        <color rgb="FF000000"/>
      </left>
      <right style="thin">
        <color theme="1"/>
      </right>
      <top/>
      <bottom/>
      <diagonal/>
    </border>
    <border>
      <left style="thin">
        <color rgb="FF000000"/>
      </left>
      <right style="thin">
        <color theme="1"/>
      </right>
      <top style="dotted">
        <color rgb="FF000000"/>
      </top>
      <bottom style="thin">
        <color rgb="FF000000"/>
      </bottom>
      <diagonal/>
    </border>
    <border>
      <left style="thin">
        <color rgb="FF000000"/>
      </left>
      <right style="thin">
        <color theme="1"/>
      </right>
      <top style="double">
        <color rgb="FF000000"/>
      </top>
      <bottom style="double">
        <color rgb="FF000000"/>
      </bottom>
      <diagonal/>
    </border>
    <border>
      <left style="thin">
        <color rgb="FF000000"/>
      </left>
      <right style="thin">
        <color theme="1"/>
      </right>
      <top style="double">
        <color rgb="FF000000"/>
      </top>
      <bottom style="double">
        <color indexed="64"/>
      </bottom>
      <diagonal/>
    </border>
    <border>
      <left style="thin">
        <color rgb="FF000000"/>
      </left>
      <right style="thin">
        <color theme="1"/>
      </right>
      <top style="double">
        <color indexed="64"/>
      </top>
      <bottom style="double">
        <color indexed="64"/>
      </bottom>
      <diagonal/>
    </border>
    <border>
      <left style="thin">
        <color rgb="FF000000"/>
      </left>
      <right style="thin">
        <color theme="1"/>
      </right>
      <top/>
      <bottom style="double">
        <color rgb="FF000000"/>
      </bottom>
      <diagonal/>
    </border>
    <border>
      <left style="thin">
        <color rgb="FF000000"/>
      </left>
      <right style="thin">
        <color theme="1"/>
      </right>
      <top style="double">
        <color rgb="FF000000"/>
      </top>
      <bottom/>
      <diagonal/>
    </border>
    <border>
      <left style="thin">
        <color rgb="FF000000"/>
      </left>
      <right style="thin">
        <color theme="1"/>
      </right>
      <top style="double">
        <color rgb="FF000000"/>
      </top>
      <bottom style="medium">
        <color indexed="64"/>
      </bottom>
      <diagonal/>
    </border>
    <border>
      <left style="thin">
        <color theme="1"/>
      </left>
      <right style="thin">
        <color rgb="FF000000"/>
      </right>
      <top style="double">
        <color indexed="64"/>
      </top>
      <bottom style="double">
        <color indexed="64"/>
      </bottom>
      <diagonal/>
    </border>
    <border>
      <left style="thin">
        <color rgb="FF000000"/>
      </left>
      <right style="thin">
        <color rgb="FF000000"/>
      </right>
      <top/>
      <bottom style="dotted">
        <color rgb="FF000000"/>
      </bottom>
      <diagonal/>
    </border>
    <border>
      <left style="thin">
        <color rgb="FF000000"/>
      </left>
      <right style="thin">
        <color theme="1"/>
      </right>
      <top/>
      <bottom style="dotted">
        <color rgb="FF000000"/>
      </bottom>
      <diagonal/>
    </border>
    <border>
      <left/>
      <right style="thin">
        <color rgb="FF000000"/>
      </right>
      <top/>
      <bottom style="dotted">
        <color rgb="FF000000"/>
      </bottom>
      <diagonal/>
    </border>
    <border>
      <left style="thin">
        <color indexed="64"/>
      </left>
      <right style="thin">
        <color rgb="FF000000"/>
      </right>
      <top style="double">
        <color rgb="FF000000"/>
      </top>
      <bottom style="thin">
        <color theme="1"/>
      </bottom>
      <diagonal/>
    </border>
    <border>
      <left style="thin">
        <color rgb="FF000000"/>
      </left>
      <right style="thin">
        <color rgb="FF000000"/>
      </right>
      <top style="thin">
        <color rgb="FF000000"/>
      </top>
      <bottom style="dotted">
        <color theme="1"/>
      </bottom>
      <diagonal/>
    </border>
    <border>
      <left style="thin">
        <color rgb="FF000000"/>
      </left>
      <right style="thin">
        <color theme="1"/>
      </right>
      <top style="thin">
        <color rgb="FF000000"/>
      </top>
      <bottom style="dotted">
        <color theme="1"/>
      </bottom>
      <diagonal/>
    </border>
    <border>
      <left style="thin">
        <color indexed="64"/>
      </left>
      <right style="thin">
        <color rgb="FF000000"/>
      </right>
      <top style="double">
        <color indexed="64"/>
      </top>
      <bottom style="double">
        <color indexed="64"/>
      </bottom>
      <diagonal/>
    </border>
    <border>
      <left/>
      <right style="thin">
        <color rgb="FF000000"/>
      </right>
      <top style="medium">
        <color indexed="64"/>
      </top>
      <bottom style="thin">
        <color rgb="FF000000"/>
      </bottom>
      <diagonal/>
    </border>
    <border>
      <left/>
      <right style="thin">
        <color rgb="FF000000"/>
      </right>
      <top style="medium">
        <color indexed="64"/>
      </top>
      <bottom/>
      <diagonal/>
    </border>
    <border>
      <left style="thin">
        <color rgb="FF000000"/>
      </left>
      <right style="thin">
        <color rgb="FF000000"/>
      </right>
      <top style="medium">
        <color indexed="64"/>
      </top>
      <bottom/>
      <diagonal/>
    </border>
    <border>
      <left style="thin">
        <color rgb="FF000000"/>
      </left>
      <right style="thin">
        <color theme="1"/>
      </right>
      <top style="medium">
        <color indexed="64"/>
      </top>
      <bottom style="thin">
        <color rgb="FF000000"/>
      </bottom>
      <diagonal/>
    </border>
    <border>
      <left style="thin">
        <color rgb="FF000000"/>
      </left>
      <right style="medium">
        <color indexed="64"/>
      </right>
      <top style="medium">
        <color indexed="64"/>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top/>
      <bottom/>
      <diagonal/>
    </border>
    <border>
      <left style="thin">
        <color rgb="FF000000"/>
      </left>
      <right style="medium">
        <color indexed="64"/>
      </right>
      <top style="thin">
        <color rgb="FF000000"/>
      </top>
      <bottom style="dotted">
        <color theme="1"/>
      </bottom>
      <diagonal/>
    </border>
    <border>
      <left style="thin">
        <color rgb="FF000000"/>
      </left>
      <right style="medium">
        <color indexed="64"/>
      </right>
      <top/>
      <bottom/>
      <diagonal/>
    </border>
    <border>
      <left style="medium">
        <color indexed="64"/>
      </left>
      <right/>
      <top/>
      <bottom style="double">
        <color rgb="FF000000"/>
      </bottom>
      <diagonal/>
    </border>
    <border>
      <left style="thin">
        <color rgb="FF000000"/>
      </left>
      <right style="medium">
        <color indexed="64"/>
      </right>
      <top/>
      <bottom style="double">
        <color rgb="FF000000"/>
      </bottom>
      <diagonal/>
    </border>
    <border>
      <left style="medium">
        <color indexed="64"/>
      </left>
      <right/>
      <top style="double">
        <color rgb="FF000000"/>
      </top>
      <bottom/>
      <diagonal/>
    </border>
    <border diagonalUp="1">
      <left style="thin">
        <color rgb="FF000000"/>
      </left>
      <right style="medium">
        <color indexed="64"/>
      </right>
      <top/>
      <bottom style="dotted">
        <color rgb="FF000000"/>
      </bottom>
      <diagonal style="thin">
        <color rgb="FF000000"/>
      </diagonal>
    </border>
    <border diagonalUp="1">
      <left style="thin">
        <color rgb="FF000000"/>
      </left>
      <right style="medium">
        <color indexed="64"/>
      </right>
      <top style="dotted">
        <color rgb="FF000000"/>
      </top>
      <bottom style="thin">
        <color rgb="FF000000"/>
      </bottom>
      <diagonal style="thin">
        <color rgb="FF000000"/>
      </diagonal>
    </border>
    <border diagonalUp="1">
      <left style="thin">
        <color rgb="FF000000"/>
      </left>
      <right style="medium">
        <color indexed="64"/>
      </right>
      <top style="thin">
        <color rgb="FF000000"/>
      </top>
      <bottom style="dotted">
        <color rgb="FF000000"/>
      </bottom>
      <diagonal style="thin">
        <color rgb="FF000000"/>
      </diagonal>
    </border>
    <border diagonalUp="1">
      <left style="thin">
        <color rgb="FF000000"/>
      </left>
      <right style="medium">
        <color indexed="64"/>
      </right>
      <top style="dotted">
        <color rgb="FF000000"/>
      </top>
      <bottom style="dotted">
        <color rgb="FF000000"/>
      </bottom>
      <diagonal style="thin">
        <color rgb="FF000000"/>
      </diagonal>
    </border>
    <border>
      <left style="medium">
        <color indexed="64"/>
      </left>
      <right/>
      <top style="double">
        <color rgb="FF000000"/>
      </top>
      <bottom style="double">
        <color rgb="FF000000"/>
      </bottom>
      <diagonal/>
    </border>
    <border diagonalUp="1">
      <left style="thin">
        <color rgb="FF000000"/>
      </left>
      <right style="medium">
        <color indexed="64"/>
      </right>
      <top style="double">
        <color rgb="FF000000"/>
      </top>
      <bottom style="double">
        <color rgb="FF000000"/>
      </bottom>
      <diagonal style="thin">
        <color rgb="FF000000"/>
      </diagonal>
    </border>
    <border>
      <left style="medium">
        <color indexed="64"/>
      </left>
      <right/>
      <top style="double">
        <color rgb="FF000000"/>
      </top>
      <bottom style="double">
        <color indexed="64"/>
      </bottom>
      <diagonal/>
    </border>
    <border diagonalUp="1">
      <left style="thin">
        <color rgb="FF000000"/>
      </left>
      <right style="medium">
        <color indexed="64"/>
      </right>
      <top style="double">
        <color rgb="FF000000"/>
      </top>
      <bottom style="double">
        <color indexed="64"/>
      </bottom>
      <diagonal style="thin">
        <color rgb="FF000000"/>
      </diagonal>
    </border>
    <border>
      <left style="medium">
        <color indexed="64"/>
      </left>
      <right style="thin">
        <color rgb="FF000000"/>
      </right>
      <top style="double">
        <color indexed="64"/>
      </top>
      <bottom style="double">
        <color indexed="64"/>
      </bottom>
      <diagonal/>
    </border>
    <border>
      <left style="thin">
        <color rgb="FF000000"/>
      </left>
      <right style="medium">
        <color indexed="64"/>
      </right>
      <top style="double">
        <color indexed="64"/>
      </top>
      <bottom style="double">
        <color indexed="64"/>
      </bottom>
      <diagonal/>
    </border>
    <border>
      <left style="medium">
        <color indexed="64"/>
      </left>
      <right style="thin">
        <color rgb="FF000000"/>
      </right>
      <top/>
      <bottom style="double">
        <color rgb="FF000000"/>
      </bottom>
      <diagonal/>
    </border>
    <border>
      <left style="thin">
        <color rgb="FF000000"/>
      </left>
      <right style="medium">
        <color indexed="64"/>
      </right>
      <top style="double">
        <color rgb="FF000000"/>
      </top>
      <bottom/>
      <diagonal/>
    </border>
    <border>
      <left style="medium">
        <color indexed="64"/>
      </left>
      <right style="thin">
        <color indexed="64"/>
      </right>
      <top style="double">
        <color rgb="FF000000"/>
      </top>
      <bottom style="double">
        <color rgb="FF000000"/>
      </bottom>
      <diagonal/>
    </border>
    <border>
      <left style="thin">
        <color rgb="FF000000"/>
      </left>
      <right style="medium">
        <color indexed="64"/>
      </right>
      <top style="double">
        <color rgb="FF000000"/>
      </top>
      <bottom style="double">
        <color rgb="FF000000"/>
      </bottom>
      <diagonal/>
    </border>
    <border>
      <left style="medium">
        <color indexed="64"/>
      </left>
      <right style="thin">
        <color indexed="64"/>
      </right>
      <top style="double">
        <color rgb="FF000000"/>
      </top>
      <bottom style="medium">
        <color indexed="64"/>
      </bottom>
      <diagonal/>
    </border>
    <border>
      <left style="thin">
        <color rgb="FF000000"/>
      </left>
      <right style="medium">
        <color indexed="64"/>
      </right>
      <top style="double">
        <color rgb="FF000000"/>
      </top>
      <bottom style="medium">
        <color indexed="64"/>
      </bottom>
      <diagonal/>
    </border>
    <border>
      <left/>
      <right style="thin">
        <color rgb="FF000000"/>
      </right>
      <top style="double">
        <color indexed="64"/>
      </top>
      <bottom style="medium">
        <color indexed="64"/>
      </bottom>
      <diagonal/>
    </border>
    <border>
      <left/>
      <right/>
      <top/>
      <bottom style="double">
        <color rgb="FF000000"/>
      </bottom>
      <diagonal/>
    </border>
    <border>
      <left style="thin">
        <color rgb="FF000000"/>
      </left>
      <right style="medium">
        <color indexed="64"/>
      </right>
      <top style="thin">
        <color rgb="FF000000"/>
      </top>
      <bottom/>
      <diagonal/>
    </border>
    <border>
      <left style="thin">
        <color rgb="FF000000"/>
      </left>
      <right style="thin">
        <color rgb="FF000000"/>
      </right>
      <top/>
      <bottom style="thin">
        <color theme="1"/>
      </bottom>
      <diagonal/>
    </border>
    <border>
      <left style="thin">
        <color rgb="FF000000"/>
      </left>
      <right style="thin">
        <color theme="1"/>
      </right>
      <top/>
      <bottom style="thin">
        <color theme="1"/>
      </bottom>
      <diagonal/>
    </border>
    <border>
      <left/>
      <right style="thin">
        <color rgb="FF000000"/>
      </right>
      <top/>
      <bottom style="thin">
        <color theme="1"/>
      </bottom>
      <diagonal/>
    </border>
    <border diagonalUp="1">
      <left style="thin">
        <color rgb="FF000000"/>
      </left>
      <right style="thin">
        <color rgb="FF000000"/>
      </right>
      <top/>
      <bottom style="thin">
        <color theme="1"/>
      </bottom>
      <diagonal style="thin">
        <color rgb="FF000000"/>
      </diagonal>
    </border>
    <border diagonalUp="1">
      <left style="thin">
        <color rgb="FF000000"/>
      </left>
      <right style="medium">
        <color indexed="64"/>
      </right>
      <top/>
      <bottom style="thin">
        <color theme="1"/>
      </bottom>
      <diagonal style="thin">
        <color rgb="FF000000"/>
      </diagonal>
    </border>
    <border>
      <left style="thin">
        <color rgb="FF000000"/>
      </left>
      <right style="thin">
        <color rgb="FF000000"/>
      </right>
      <top style="thin">
        <color rgb="FF000000"/>
      </top>
      <bottom style="hair">
        <color indexed="64"/>
      </bottom>
      <diagonal/>
    </border>
    <border>
      <left style="thin">
        <color rgb="FF000000"/>
      </left>
      <right style="thin">
        <color rgb="FF000000"/>
      </right>
      <top/>
      <bottom style="dotted">
        <color indexed="64"/>
      </bottom>
      <diagonal/>
    </border>
    <border>
      <left style="thin">
        <color indexed="64"/>
      </left>
      <right style="thin">
        <color rgb="FF000000"/>
      </right>
      <top style="hair">
        <color indexed="64"/>
      </top>
      <bottom style="double">
        <color indexed="64"/>
      </bottom>
      <diagonal/>
    </border>
    <border>
      <left style="thin">
        <color rgb="FF000000"/>
      </left>
      <right style="thin">
        <color rgb="FF000000"/>
      </right>
      <top style="hair">
        <color indexed="64"/>
      </top>
      <bottom style="double">
        <color indexed="64"/>
      </bottom>
      <diagonal/>
    </border>
    <border>
      <left style="thin">
        <color indexed="64"/>
      </left>
      <right style="thin">
        <color rgb="FF000000"/>
      </right>
      <top/>
      <bottom style="thin">
        <color indexed="64"/>
      </bottom>
      <diagonal/>
    </border>
    <border>
      <left style="medium">
        <color indexed="64"/>
      </left>
      <right/>
      <top style="medium">
        <color indexed="64"/>
      </top>
      <bottom style="double">
        <color indexed="64"/>
      </bottom>
      <diagonal/>
    </border>
    <border>
      <left/>
      <right style="thin">
        <color rgb="FF000000"/>
      </right>
      <top style="medium">
        <color indexed="64"/>
      </top>
      <bottom style="double">
        <color indexed="64"/>
      </bottom>
      <diagonal/>
    </border>
    <border>
      <left style="thin">
        <color rgb="FF000000"/>
      </left>
      <right style="medium">
        <color indexed="64"/>
      </right>
      <top style="hair">
        <color indexed="64"/>
      </top>
      <bottom style="double">
        <color indexed="64"/>
      </bottom>
      <diagonal/>
    </border>
    <border diagonalUp="1">
      <left style="thin">
        <color rgb="FF000000"/>
      </left>
      <right/>
      <top style="double">
        <color rgb="FF000000"/>
      </top>
      <bottom style="double">
        <color indexed="64"/>
      </bottom>
      <diagonal style="thin">
        <color rgb="FF000000"/>
      </diagonal>
    </border>
    <border>
      <left style="medium">
        <color indexed="64"/>
      </left>
      <right style="thin">
        <color rgb="FF000000"/>
      </right>
      <top style="double">
        <color indexed="64"/>
      </top>
      <bottom style="medium">
        <color indexed="64"/>
      </bottom>
      <diagonal/>
    </border>
    <border>
      <left style="thin">
        <color rgb="FF000000"/>
      </left>
      <right style="thin">
        <color rgb="FF000000"/>
      </right>
      <top style="dotted">
        <color rgb="FF000000"/>
      </top>
      <bottom style="thin">
        <color indexed="64"/>
      </bottom>
      <diagonal/>
    </border>
  </borders>
  <cellStyleXfs count="2">
    <xf numFmtId="0" fontId="0" fillId="0" borderId="0">
      <alignment vertical="center"/>
    </xf>
    <xf numFmtId="0" fontId="5" fillId="0" borderId="0"/>
  </cellStyleXfs>
  <cellXfs count="164">
    <xf numFmtId="0" fontId="0" fillId="0" borderId="0" xfId="0">
      <alignment vertical="center"/>
    </xf>
    <xf numFmtId="0" fontId="0" fillId="0" borderId="0" xfId="0" applyBorder="1">
      <alignment vertical="center"/>
    </xf>
    <xf numFmtId="177" fontId="0" fillId="0" borderId="0" xfId="0" applyNumberFormat="1" applyBorder="1" applyAlignment="1">
      <alignment horizontal="left" vertical="center"/>
    </xf>
    <xf numFmtId="0" fontId="10" fillId="0" borderId="2" xfId="0" applyFont="1" applyBorder="1" applyAlignment="1">
      <alignment horizontal="center" vertical="center" wrapText="1"/>
    </xf>
    <xf numFmtId="0" fontId="9" fillId="0" borderId="2" xfId="0" applyFont="1" applyBorder="1" applyAlignment="1">
      <alignment horizontal="center" vertical="center" wrapText="1"/>
    </xf>
    <xf numFmtId="0" fontId="11" fillId="0" borderId="2" xfId="0" applyFont="1" applyBorder="1" applyAlignment="1">
      <alignment horizontal="center" vertical="center" wrapText="1"/>
    </xf>
    <xf numFmtId="0" fontId="9" fillId="0" borderId="6" xfId="0" applyFont="1" applyBorder="1" applyAlignment="1">
      <alignment horizontal="center" vertical="center" wrapText="1"/>
    </xf>
    <xf numFmtId="0" fontId="12" fillId="0" borderId="11" xfId="0" applyFont="1" applyBorder="1" applyAlignment="1">
      <alignment horizontal="center" vertical="center" wrapText="1"/>
    </xf>
    <xf numFmtId="0" fontId="11" fillId="0" borderId="11" xfId="0" applyFont="1" applyBorder="1" applyAlignment="1">
      <alignment horizontal="center" vertical="center" wrapText="1"/>
    </xf>
    <xf numFmtId="0" fontId="11" fillId="0" borderId="12" xfId="0" applyFont="1" applyBorder="1" applyAlignment="1">
      <alignment horizontal="center" vertical="center" wrapText="1"/>
    </xf>
    <xf numFmtId="0" fontId="10" fillId="0" borderId="11" xfId="0" applyFont="1" applyBorder="1" applyAlignment="1">
      <alignment horizontal="center" vertical="center" wrapText="1"/>
    </xf>
    <xf numFmtId="0" fontId="9" fillId="0" borderId="12" xfId="0" applyFont="1" applyBorder="1" applyAlignment="1">
      <alignment horizontal="center" vertical="center" wrapText="1"/>
    </xf>
    <xf numFmtId="0" fontId="11" fillId="0" borderId="10" xfId="0" applyFont="1" applyBorder="1" applyAlignment="1">
      <alignment horizontal="center" vertical="center" wrapText="1"/>
    </xf>
    <xf numFmtId="0" fontId="9" fillId="0" borderId="11" xfId="0" applyFont="1" applyBorder="1" applyAlignment="1">
      <alignment horizontal="center" vertical="center" wrapText="1"/>
    </xf>
    <xf numFmtId="0" fontId="13" fillId="0" borderId="9" xfId="0" applyFont="1" applyBorder="1" applyAlignment="1">
      <alignment horizontal="center" vertical="center" wrapText="1"/>
    </xf>
    <xf numFmtId="0" fontId="11" fillId="0" borderId="9" xfId="0" applyFont="1" applyBorder="1" applyAlignment="1">
      <alignment horizontal="center" vertical="center" wrapText="1"/>
    </xf>
    <xf numFmtId="0" fontId="0" fillId="0" borderId="0" xfId="0" applyNumberFormat="1">
      <alignment vertical="center"/>
    </xf>
    <xf numFmtId="0" fontId="0" fillId="0" borderId="0" xfId="0" applyNumberFormat="1" applyBorder="1" applyAlignment="1">
      <alignment vertical="center"/>
    </xf>
    <xf numFmtId="0" fontId="2" fillId="0" borderId="0" xfId="0" applyNumberFormat="1" applyFont="1" applyBorder="1">
      <alignment vertical="center"/>
    </xf>
    <xf numFmtId="0" fontId="0" fillId="0" borderId="0" xfId="0" applyNumberFormat="1" applyBorder="1">
      <alignment vertical="center"/>
    </xf>
    <xf numFmtId="14" fontId="0" fillId="0" borderId="0" xfId="0" applyNumberFormat="1">
      <alignment vertical="center"/>
    </xf>
    <xf numFmtId="0" fontId="10" fillId="0" borderId="4" xfId="0" applyFont="1" applyBorder="1" applyAlignment="1">
      <alignment horizontal="center" vertical="center" wrapText="1"/>
    </xf>
    <xf numFmtId="0" fontId="0" fillId="0" borderId="0" xfId="0" applyNumberFormat="1" applyFill="1" applyBorder="1" applyAlignment="1">
      <alignment horizontal="center" vertical="center"/>
    </xf>
    <xf numFmtId="0" fontId="11" fillId="0" borderId="8" xfId="0" applyFont="1" applyBorder="1" applyAlignment="1">
      <alignment horizontal="center" vertical="center" wrapText="1"/>
    </xf>
    <xf numFmtId="0" fontId="9" fillId="0" borderId="0" xfId="0" applyFont="1" applyBorder="1" applyAlignment="1">
      <alignment horizontal="center" vertical="center" wrapText="1"/>
    </xf>
    <xf numFmtId="0" fontId="11" fillId="0" borderId="0" xfId="0" applyFont="1" applyBorder="1" applyAlignment="1">
      <alignment horizontal="center" vertical="center" wrapText="1"/>
    </xf>
    <xf numFmtId="0" fontId="11" fillId="0" borderId="15" xfId="0" applyFont="1" applyBorder="1" applyAlignment="1">
      <alignment horizontal="center" vertical="center" wrapText="1"/>
    </xf>
    <xf numFmtId="0" fontId="11" fillId="0" borderId="4" xfId="0" applyFont="1" applyBorder="1" applyAlignment="1">
      <alignment horizontal="center" vertical="center" wrapText="1"/>
    </xf>
    <xf numFmtId="0" fontId="12" fillId="0" borderId="0" xfId="0" applyFont="1" applyBorder="1" applyAlignment="1">
      <alignment horizontal="center" vertical="center" wrapText="1"/>
    </xf>
    <xf numFmtId="0" fontId="10" fillId="0" borderId="15" xfId="0" applyFont="1" applyBorder="1" applyAlignment="1">
      <alignment horizontal="center" vertical="center" wrapText="1"/>
    </xf>
    <xf numFmtId="0" fontId="11" fillId="0" borderId="6"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3" xfId="0" applyFont="1" applyBorder="1" applyAlignment="1">
      <alignment horizontal="center" vertical="center" wrapText="1"/>
    </xf>
    <xf numFmtId="0" fontId="10" fillId="0" borderId="24" xfId="0" applyFont="1" applyBorder="1" applyAlignment="1">
      <alignment vertical="center"/>
    </xf>
    <xf numFmtId="0" fontId="9" fillId="0" borderId="24" xfId="0" applyFont="1" applyBorder="1" applyAlignment="1">
      <alignment horizontal="center" vertical="center" wrapText="1"/>
    </xf>
    <xf numFmtId="0" fontId="12" fillId="0" borderId="13" xfId="0" applyFont="1" applyBorder="1" applyAlignment="1">
      <alignment horizontal="center" vertical="center" wrapText="1"/>
    </xf>
    <xf numFmtId="0" fontId="11" fillId="0" borderId="13" xfId="0" applyFont="1" applyBorder="1" applyAlignment="1">
      <alignment horizontal="center" vertical="center" wrapText="1"/>
    </xf>
    <xf numFmtId="0" fontId="10" fillId="0" borderId="24" xfId="0" applyFont="1" applyBorder="1" applyAlignment="1">
      <alignment horizontal="center" vertical="center" wrapText="1"/>
    </xf>
    <xf numFmtId="0" fontId="11" fillId="0" borderId="24" xfId="0" applyFont="1" applyBorder="1" applyAlignment="1">
      <alignment horizontal="center" vertical="center" wrapText="1"/>
    </xf>
    <xf numFmtId="0" fontId="11" fillId="0" borderId="25" xfId="0" applyFont="1" applyBorder="1" applyAlignment="1">
      <alignment horizontal="center" vertical="center" wrapText="1"/>
    </xf>
    <xf numFmtId="0" fontId="9" fillId="0" borderId="26" xfId="0" applyFont="1" applyBorder="1" applyAlignment="1">
      <alignment horizontal="center" vertical="center" wrapText="1"/>
    </xf>
    <xf numFmtId="0" fontId="9" fillId="0" borderId="21" xfId="0" applyFont="1" applyBorder="1" applyAlignment="1">
      <alignment horizontal="center" vertical="center" wrapText="1"/>
    </xf>
    <xf numFmtId="0" fontId="11" fillId="0" borderId="3" xfId="0" applyFont="1" applyBorder="1" applyAlignment="1">
      <alignment horizontal="center" vertical="center" wrapText="1"/>
    </xf>
    <xf numFmtId="0" fontId="11" fillId="0" borderId="14" xfId="0" applyFont="1" applyBorder="1" applyAlignment="1">
      <alignment horizontal="center" vertical="center" wrapText="1"/>
    </xf>
    <xf numFmtId="0" fontId="11" fillId="0" borderId="27" xfId="0" applyFont="1" applyBorder="1" applyAlignment="1">
      <alignment horizontal="center" vertical="center" wrapText="1"/>
    </xf>
    <xf numFmtId="0" fontId="11" fillId="0" borderId="28" xfId="0" applyFont="1" applyBorder="1" applyAlignment="1">
      <alignment horizontal="center" vertical="center" wrapText="1"/>
    </xf>
    <xf numFmtId="0" fontId="9" fillId="0" borderId="29" xfId="0" applyFont="1" applyBorder="1" applyAlignment="1">
      <alignment horizontal="center" vertical="center" wrapText="1"/>
    </xf>
    <xf numFmtId="0" fontId="11" fillId="0" borderId="30" xfId="0" applyFont="1" applyBorder="1" applyAlignment="1">
      <alignment horizontal="center" vertical="center" wrapText="1"/>
    </xf>
    <xf numFmtId="0" fontId="9" fillId="0" borderId="31" xfId="0" applyFont="1" applyBorder="1" applyAlignment="1">
      <alignment horizontal="center" vertical="center" wrapText="1"/>
    </xf>
    <xf numFmtId="0" fontId="9" fillId="0" borderId="32" xfId="0" applyFont="1" applyBorder="1" applyAlignment="1">
      <alignment horizontal="center" vertical="center" wrapText="1"/>
    </xf>
    <xf numFmtId="0" fontId="9" fillId="0" borderId="33" xfId="0" applyFont="1" applyBorder="1" applyAlignment="1">
      <alignment horizontal="center" vertical="center" wrapText="1"/>
    </xf>
    <xf numFmtId="0" fontId="11" fillId="0" borderId="34" xfId="0" applyFont="1" applyBorder="1" applyAlignment="1">
      <alignment horizontal="center" vertical="center" wrapText="1"/>
    </xf>
    <xf numFmtId="0" fontId="11" fillId="0" borderId="32" xfId="0" applyFont="1" applyBorder="1" applyAlignment="1">
      <alignment horizontal="center" vertical="center" wrapText="1"/>
    </xf>
    <xf numFmtId="0" fontId="11" fillId="0" borderId="33" xfId="0" applyFont="1" applyBorder="1" applyAlignment="1">
      <alignment horizontal="center" vertical="center" wrapText="1"/>
    </xf>
    <xf numFmtId="0" fontId="11" fillId="0" borderId="35" xfId="0" applyFont="1" applyBorder="1" applyAlignment="1">
      <alignment horizontal="center" vertical="center" wrapText="1"/>
    </xf>
    <xf numFmtId="0" fontId="11" fillId="0" borderId="36" xfId="0" applyFont="1" applyBorder="1" applyAlignment="1">
      <alignment horizontal="center" vertical="center" wrapText="1"/>
    </xf>
    <xf numFmtId="0" fontId="9" fillId="0" borderId="37" xfId="0" applyFont="1" applyBorder="1" applyAlignment="1">
      <alignment horizontal="center" vertical="center" wrapText="1"/>
    </xf>
    <xf numFmtId="0" fontId="11" fillId="0" borderId="37" xfId="0" applyFont="1" applyBorder="1" applyAlignment="1">
      <alignment horizontal="center" vertical="center" wrapText="1"/>
    </xf>
    <xf numFmtId="0" fontId="9" fillId="0" borderId="38" xfId="0" applyFont="1" applyBorder="1" applyAlignment="1">
      <alignment horizontal="center" vertical="center" wrapText="1"/>
    </xf>
    <xf numFmtId="0" fontId="9" fillId="0" borderId="39" xfId="0" applyFont="1" applyBorder="1" applyAlignment="1">
      <alignment horizontal="center" vertical="center" wrapText="1"/>
    </xf>
    <xf numFmtId="0" fontId="10" fillId="0" borderId="40" xfId="0" applyFont="1" applyBorder="1" applyAlignment="1">
      <alignment horizontal="center" vertical="center" wrapText="1"/>
    </xf>
    <xf numFmtId="0" fontId="9" fillId="0" borderId="41" xfId="0" applyFont="1" applyBorder="1" applyAlignment="1">
      <alignment horizontal="center" vertical="center" wrapText="1"/>
    </xf>
    <xf numFmtId="0" fontId="11" fillId="0" borderId="41" xfId="0" applyFont="1" applyBorder="1" applyAlignment="1">
      <alignment horizontal="center" vertical="center" wrapText="1"/>
    </xf>
    <xf numFmtId="0" fontId="11" fillId="0" borderId="42" xfId="0" applyFont="1" applyBorder="1" applyAlignment="1">
      <alignment horizontal="center" vertical="center" wrapText="1"/>
    </xf>
    <xf numFmtId="0" fontId="11" fillId="0" borderId="0" xfId="0" applyFont="1" applyBorder="1" applyAlignment="1">
      <alignment horizontal="center" vertical="center"/>
    </xf>
    <xf numFmtId="178" fontId="2" fillId="0" borderId="0" xfId="0" applyNumberFormat="1" applyFont="1" applyBorder="1">
      <alignment vertical="center"/>
    </xf>
    <xf numFmtId="0" fontId="2" fillId="0" borderId="0" xfId="0" applyNumberFormat="1" applyFont="1" applyFill="1" applyBorder="1">
      <alignment vertical="center"/>
    </xf>
    <xf numFmtId="0" fontId="9" fillId="0" borderId="43" xfId="0" applyFont="1" applyBorder="1" applyAlignment="1">
      <alignment horizontal="center" vertical="center" wrapText="1"/>
    </xf>
    <xf numFmtId="0" fontId="8" fillId="0" borderId="45" xfId="0" applyFont="1" applyBorder="1" applyAlignment="1">
      <alignment horizontal="center" vertical="center" wrapText="1"/>
    </xf>
    <xf numFmtId="176" fontId="8" fillId="0" borderId="46" xfId="0" applyNumberFormat="1" applyFont="1" applyBorder="1" applyAlignment="1">
      <alignment horizontal="center" vertical="center" wrapText="1"/>
    </xf>
    <xf numFmtId="176" fontId="8" fillId="0" borderId="47" xfId="0" applyNumberFormat="1" applyFont="1" applyBorder="1" applyAlignment="1">
      <alignment horizontal="center" vertical="center" wrapText="1"/>
    </xf>
    <xf numFmtId="176" fontId="8" fillId="0" borderId="44" xfId="0" applyNumberFormat="1" applyFont="1" applyBorder="1" applyAlignment="1">
      <alignment horizontal="center" vertical="center" wrapText="1"/>
    </xf>
    <xf numFmtId="176" fontId="6" fillId="0" borderId="48" xfId="0" applyNumberFormat="1" applyFont="1" applyBorder="1" applyAlignment="1">
      <alignment horizontal="center" vertical="center" wrapText="1"/>
    </xf>
    <xf numFmtId="0" fontId="9" fillId="0" borderId="49" xfId="0" applyFont="1" applyBorder="1" applyAlignment="1">
      <alignment horizontal="center" vertical="center" wrapText="1"/>
    </xf>
    <xf numFmtId="0" fontId="9" fillId="0" borderId="51" xfId="0" applyFont="1" applyBorder="1" applyAlignment="1">
      <alignment horizontal="center" vertical="center" wrapText="1"/>
    </xf>
    <xf numFmtId="0" fontId="9" fillId="0" borderId="52" xfId="0" applyFont="1" applyBorder="1" applyAlignment="1">
      <alignment horizontal="center" vertical="center" wrapText="1"/>
    </xf>
    <xf numFmtId="0" fontId="9" fillId="0" borderId="54" xfId="0" applyFont="1" applyBorder="1" applyAlignment="1">
      <alignment horizontal="center" vertical="center" wrapText="1"/>
    </xf>
    <xf numFmtId="0" fontId="11" fillId="0" borderId="56" xfId="0" applyFont="1" applyBorder="1" applyAlignment="1">
      <alignment horizontal="center" vertical="center" wrapText="1"/>
    </xf>
    <xf numFmtId="0" fontId="11" fillId="0" borderId="57" xfId="0" applyFont="1" applyBorder="1" applyAlignment="1">
      <alignment horizontal="center" vertical="center" wrapText="1"/>
    </xf>
    <xf numFmtId="0" fontId="11" fillId="0" borderId="58" xfId="0" applyFont="1" applyBorder="1" applyAlignment="1">
      <alignment horizontal="center" vertical="center" wrapText="1"/>
    </xf>
    <xf numFmtId="0" fontId="11" fillId="0" borderId="59" xfId="0" applyFont="1" applyBorder="1" applyAlignment="1">
      <alignment horizontal="center" vertical="center" wrapText="1"/>
    </xf>
    <xf numFmtId="0" fontId="9" fillId="0" borderId="61"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64" xfId="0" applyFont="1" applyBorder="1" applyAlignment="1">
      <alignment vertical="center" wrapText="1"/>
    </xf>
    <xf numFmtId="0" fontId="9" fillId="0" borderId="65" xfId="0" applyFont="1" applyBorder="1" applyAlignment="1">
      <alignment horizontal="center" vertical="center" wrapText="1"/>
    </xf>
    <xf numFmtId="0" fontId="9" fillId="0" borderId="66" xfId="0" applyFont="1" applyBorder="1" applyAlignment="1">
      <alignment vertical="center" wrapText="1"/>
    </xf>
    <xf numFmtId="0" fontId="9" fillId="0" borderId="55" xfId="0" applyFont="1" applyBorder="1" applyAlignment="1">
      <alignment horizontal="center" vertical="center" wrapText="1"/>
    </xf>
    <xf numFmtId="0" fontId="9" fillId="0" borderId="67" xfId="0" applyFont="1" applyBorder="1" applyAlignment="1">
      <alignment horizontal="center" vertical="center" wrapText="1"/>
    </xf>
    <xf numFmtId="0" fontId="11" fillId="0" borderId="65" xfId="0" applyFont="1" applyBorder="1" applyAlignment="1">
      <alignment horizontal="center" vertical="center" wrapText="1"/>
    </xf>
    <xf numFmtId="0" fontId="11" fillId="0" borderId="54" xfId="0" applyFont="1" applyBorder="1" applyAlignment="1">
      <alignment horizontal="center" vertical="center" wrapText="1"/>
    </xf>
    <xf numFmtId="0" fontId="11" fillId="0" borderId="68" xfId="0" applyFont="1" applyBorder="1" applyAlignment="1">
      <alignment horizontal="center" vertical="center"/>
    </xf>
    <xf numFmtId="0" fontId="11" fillId="0" borderId="69" xfId="0" applyFont="1" applyBorder="1" applyAlignment="1">
      <alignment horizontal="center" vertical="center" wrapText="1"/>
    </xf>
    <xf numFmtId="0" fontId="9" fillId="0" borderId="70" xfId="0" applyFont="1" applyBorder="1" applyAlignment="1">
      <alignment horizontal="center" vertical="center" wrapText="1"/>
    </xf>
    <xf numFmtId="0" fontId="11" fillId="0" borderId="71" xfId="0" applyFont="1" applyBorder="1" applyAlignment="1">
      <alignment horizontal="center" vertical="center" wrapText="1"/>
    </xf>
    <xf numFmtId="0" fontId="9" fillId="0" borderId="72" xfId="0" applyFont="1" applyBorder="1" applyAlignment="1">
      <alignment horizontal="center" vertical="center" wrapText="1"/>
    </xf>
    <xf numFmtId="49" fontId="15" fillId="0" borderId="0" xfId="0" applyNumberFormat="1" applyFont="1">
      <alignment vertical="center"/>
    </xf>
    <xf numFmtId="179" fontId="0" fillId="0" borderId="0" xfId="0" applyNumberFormat="1" applyBorder="1" applyAlignment="1">
      <alignment horizontal="center" vertical="center"/>
    </xf>
    <xf numFmtId="0" fontId="9" fillId="0" borderId="66" xfId="0" applyFont="1" applyBorder="1" applyAlignment="1">
      <alignment horizontal="left" vertical="center" wrapText="1"/>
    </xf>
    <xf numFmtId="0" fontId="0" fillId="0" borderId="0" xfId="0" applyAlignment="1">
      <alignment vertical="top"/>
    </xf>
    <xf numFmtId="0" fontId="9" fillId="0" borderId="74" xfId="0" applyFont="1" applyBorder="1" applyAlignment="1">
      <alignment horizontal="center" vertical="center" wrapText="1"/>
    </xf>
    <xf numFmtId="0" fontId="9" fillId="0" borderId="75" xfId="0" applyFont="1" applyBorder="1" applyAlignment="1">
      <alignment horizontal="center" vertical="center" wrapText="1"/>
    </xf>
    <xf numFmtId="0" fontId="11" fillId="0" borderId="75" xfId="0" applyFont="1" applyBorder="1" applyAlignment="1">
      <alignment horizontal="center" vertical="center" wrapText="1"/>
    </xf>
    <xf numFmtId="0" fontId="11" fillId="0" borderId="76" xfId="0" applyFont="1" applyBorder="1" applyAlignment="1">
      <alignment horizontal="center" vertical="center" wrapText="1"/>
    </xf>
    <xf numFmtId="0" fontId="11" fillId="0" borderId="77" xfId="0" applyFont="1" applyBorder="1" applyAlignment="1">
      <alignment horizontal="center" vertical="center" wrapText="1"/>
    </xf>
    <xf numFmtId="0" fontId="9" fillId="0" borderId="78" xfId="0" applyFont="1" applyBorder="1" applyAlignment="1">
      <alignment horizontal="center" vertical="center" wrapText="1"/>
    </xf>
    <xf numFmtId="0" fontId="9" fillId="0" borderId="79" xfId="0" applyFont="1" applyBorder="1" applyAlignment="1">
      <alignment horizontal="center" vertical="center" wrapText="1"/>
    </xf>
    <xf numFmtId="0" fontId="9" fillId="0" borderId="81" xfId="0" applyFont="1" applyBorder="1" applyAlignment="1">
      <alignment horizontal="center" vertical="center" wrapText="1"/>
    </xf>
    <xf numFmtId="0" fontId="9" fillId="0" borderId="80" xfId="0" applyFont="1" applyBorder="1" applyAlignment="1">
      <alignment horizontal="center" vertical="center" wrapText="1"/>
    </xf>
    <xf numFmtId="0" fontId="9" fillId="0" borderId="82" xfId="0" applyFont="1" applyBorder="1" applyAlignment="1">
      <alignment horizontal="center" vertical="center" wrapText="1"/>
    </xf>
    <xf numFmtId="0" fontId="9" fillId="0" borderId="83" xfId="0" applyFont="1" applyBorder="1" applyAlignment="1">
      <alignment horizontal="center" vertical="center" wrapText="1"/>
    </xf>
    <xf numFmtId="0" fontId="9" fillId="0" borderId="84" xfId="0" applyFont="1" applyBorder="1" applyAlignment="1">
      <alignment horizontal="center" vertical="center" wrapText="1"/>
    </xf>
    <xf numFmtId="0" fontId="9" fillId="0" borderId="87" xfId="0" applyFont="1"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9" fillId="0" borderId="64" xfId="0" applyFont="1" applyBorder="1" applyAlignment="1">
      <alignment horizontal="center" vertical="center" wrapText="1"/>
    </xf>
    <xf numFmtId="0" fontId="0" fillId="0" borderId="0" xfId="0" applyNumberFormat="1" applyAlignment="1">
      <alignment vertical="center" wrapText="1"/>
    </xf>
    <xf numFmtId="180" fontId="0" fillId="0" borderId="0" xfId="0" applyNumberFormat="1" applyBorder="1" applyAlignment="1">
      <alignment horizontal="left" vertical="center"/>
    </xf>
    <xf numFmtId="0" fontId="9" fillId="0" borderId="88" xfId="0" applyFont="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NumberFormat="1" applyBorder="1" applyAlignment="1">
      <alignment horizontal="center" vertical="center"/>
    </xf>
    <xf numFmtId="0" fontId="0" fillId="0" borderId="0" xfId="0" applyNumberFormat="1" applyAlignment="1">
      <alignment vertical="center"/>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0" fillId="0" borderId="0" xfId="0" applyAlignment="1">
      <alignment vertical="center"/>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89" xfId="0" applyFont="1" applyBorder="1" applyAlignment="1">
      <alignment horizontal="center" vertical="center" wrapText="1"/>
    </xf>
    <xf numFmtId="0" fontId="9" fillId="0" borderId="90" xfId="0" applyFont="1" applyBorder="1" applyAlignment="1">
      <alignment horizontal="center" vertical="center" wrapText="1"/>
    </xf>
    <xf numFmtId="181" fontId="0" fillId="0" borderId="0" xfId="0" applyNumberFormat="1">
      <alignment vertical="center"/>
    </xf>
    <xf numFmtId="0" fontId="0" fillId="0" borderId="0" xfId="0" applyAlignment="1">
      <alignment horizontal="left" vertical="center"/>
    </xf>
    <xf numFmtId="0" fontId="10" fillId="0" borderId="0" xfId="0" applyFont="1" applyBorder="1" applyAlignment="1">
      <alignment horizontal="center" vertical="center" wrapText="1"/>
    </xf>
    <xf numFmtId="0" fontId="2" fillId="0" borderId="0" xfId="0" applyFont="1" applyBorder="1" applyAlignment="1">
      <alignment horizontal="center" vertical="center" wrapText="1"/>
    </xf>
    <xf numFmtId="0" fontId="9" fillId="0" borderId="60"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7" xfId="0" applyFont="1" applyBorder="1" applyAlignment="1">
      <alignment horizontal="center" vertical="center" wrapText="1"/>
    </xf>
    <xf numFmtId="0" fontId="9" fillId="0" borderId="8" xfId="0" applyFont="1" applyBorder="1" applyAlignment="1">
      <alignment horizontal="center" vertical="center" wrapText="1"/>
    </xf>
    <xf numFmtId="0" fontId="9" fillId="0" borderId="5" xfId="0" applyFont="1" applyBorder="1" applyAlignment="1">
      <alignment horizontal="center" vertical="center" wrapText="1"/>
    </xf>
    <xf numFmtId="0" fontId="14" fillId="0" borderId="62" xfId="0" applyFont="1" applyBorder="1" applyAlignment="1">
      <alignment horizontal="center" vertical="center" wrapText="1"/>
    </xf>
    <xf numFmtId="0" fontId="14" fillId="0" borderId="21"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5"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9" xfId="0" applyFont="1" applyBorder="1" applyAlignment="1">
      <alignment horizontal="center" vertical="center" wrapText="1"/>
    </xf>
    <xf numFmtId="0" fontId="6" fillId="0" borderId="85" xfId="0" applyFont="1" applyBorder="1" applyAlignment="1">
      <alignment horizontal="center" vertical="center" wrapText="1"/>
    </xf>
    <xf numFmtId="0" fontId="6" fillId="0" borderId="86" xfId="0" applyFont="1" applyBorder="1" applyAlignment="1">
      <alignment horizontal="center" vertical="center" wrapText="1"/>
    </xf>
    <xf numFmtId="0" fontId="9" fillId="0" borderId="50" xfId="0" applyFont="1" applyBorder="1" applyAlignment="1">
      <alignment horizontal="center" vertical="center" wrapText="1"/>
    </xf>
    <xf numFmtId="0" fontId="9" fillId="0" borderId="53" xfId="0" applyFont="1" applyBorder="1" applyAlignment="1">
      <alignment horizontal="center" vertical="center" wrapText="1"/>
    </xf>
    <xf numFmtId="0" fontId="9" fillId="0" borderId="17"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20" xfId="0" applyFont="1" applyBorder="1" applyAlignment="1">
      <alignment horizontal="center" vertical="center" wrapText="1"/>
    </xf>
    <xf numFmtId="20" fontId="10" fillId="0" borderId="1" xfId="0" applyNumberFormat="1" applyFont="1" applyBorder="1" applyAlignment="1">
      <alignment horizontal="center" vertical="center" wrapText="1"/>
    </xf>
    <xf numFmtId="0" fontId="10" fillId="0" borderId="16"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73" xfId="0" applyFont="1" applyBorder="1" applyAlignment="1">
      <alignment horizontal="center" vertical="center" wrapText="1"/>
    </xf>
    <xf numFmtId="0" fontId="9" fillId="0" borderId="55" xfId="0" applyFont="1" applyBorder="1" applyAlignment="1">
      <alignment horizontal="center" vertical="center"/>
    </xf>
    <xf numFmtId="0" fontId="9" fillId="0" borderId="50" xfId="0" applyFont="1" applyBorder="1" applyAlignment="1">
      <alignment horizontal="center" vertical="center"/>
    </xf>
    <xf numFmtId="0" fontId="0" fillId="0" borderId="0" xfId="0" applyAlignment="1">
      <alignment horizontal="center" vertical="center"/>
    </xf>
  </cellXfs>
  <cellStyles count="2">
    <cellStyle name="標準" xfId="0" builtinId="0"/>
    <cellStyle name="標準 2" xfId="1" xr:uid="{38184E3A-294D-4415-ADEE-3CF57D3075AE}"/>
  </cellStyles>
  <dxfs count="26">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0</xdr:colOff>
      <xdr:row>7</xdr:row>
      <xdr:rowOff>0</xdr:rowOff>
    </xdr:from>
    <xdr:to>
      <xdr:col>13</xdr:col>
      <xdr:colOff>727213</xdr:colOff>
      <xdr:row>10</xdr:row>
      <xdr:rowOff>241024</xdr:rowOff>
    </xdr:to>
    <xdr:pic macro="[0]!自動生成">
      <xdr:nvPicPr>
        <xdr:cNvPr id="2" name="図 1">
          <a:extLst>
            <a:ext uri="{FF2B5EF4-FFF2-40B4-BE49-F238E27FC236}">
              <a16:creationId xmlns:a16="http://schemas.microsoft.com/office/drawing/2014/main" id="{F3E73556-053C-4970-99E1-B8EFEF4643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30100" y="2800350"/>
          <a:ext cx="1413013" cy="1441174"/>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188057</xdr:colOff>
      <xdr:row>1</xdr:row>
      <xdr:rowOff>240160</xdr:rowOff>
    </xdr:from>
    <xdr:to>
      <xdr:col>8</xdr:col>
      <xdr:colOff>1601069</xdr:colOff>
      <xdr:row>7</xdr:row>
      <xdr:rowOff>214322</xdr:rowOff>
    </xdr:to>
    <xdr:pic macro="[0]!自動生成">
      <xdr:nvPicPr>
        <xdr:cNvPr id="6" name="図 5">
          <a:extLst>
            <a:ext uri="{FF2B5EF4-FFF2-40B4-BE49-F238E27FC236}">
              <a16:creationId xmlns:a16="http://schemas.microsoft.com/office/drawing/2014/main" id="{B8EF2414-DA73-436F-8E37-C2FE4B03A5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14974" y="483577"/>
          <a:ext cx="1413012" cy="1445245"/>
        </a:xfrm>
        <a:prstGeom prst="rect">
          <a:avLst/>
        </a:prstGeom>
        <a:ln>
          <a:noFill/>
        </a:ln>
        <a:effectLst>
          <a:softEdge rad="112500"/>
        </a:effectLst>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松井　直哉" id="{6DA02080-A41F-41B0-9FA1-5BD618F69940}" userId="松井　直哉" providerId="None"/>
  <person displayName="みかん T" id="{773B2F78-920D-44B5-8495-1F66AA4B73F1}" userId="a56c36d93add7140" providerId="Windows Live"/>
</personList>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 dT="2021-02-07T04:40:14.56" personId="{6DA02080-A41F-41B0-9FA1-5BD618F69940}" id="{3F11AEC9-40AF-4FB3-9DDB-8FCCBD668DD3}">
    <text>この日付がシフト作成の都合上違う場合はこの日付だけ変えてください</text>
  </threadedComment>
</ThreadedComments>
</file>

<file path=xl/threadedComments/threadedComment2.xml><?xml version="1.0" encoding="utf-8"?>
<ThreadedComments xmlns="http://schemas.microsoft.com/office/spreadsheetml/2018/threadedcomments" xmlns:x="http://schemas.openxmlformats.org/spreadsheetml/2006/main">
  <threadedComment ref="D1" dT="2021-02-07T04:40:14.56" personId="{6DA02080-A41F-41B0-9FA1-5BD618F69940}" id="{6551DA91-BDA1-46C3-887E-D2963E40477B}">
    <text>この日付がシフト作成の都合上違う場合はこの日付だけ変えてください</text>
  </threadedComment>
  <threadedComment ref="M7" dT="2021-02-24T13:50:01.62" personId="{6DA02080-A41F-41B0-9FA1-5BD618F69940}" id="{C15F8790-8E10-4EB1-9891-DFFB190B3187}">
    <text>名前の下に~21:00を追加しロングであることを示すプルダウンメニューを作成するために必要</text>
  </threadedComment>
  <threadedComment ref="D8" dT="2021-02-24T06:48:58.03" personId="{773B2F78-920D-44B5-8495-1F66AA4B73F1}" id="{8D9A9ADC-4800-4849-A052-C2E6E24F965B}">
    <text>超早ロングを考慮し、矢印を使った方法から名前と自国に変更するかもしれない</text>
  </threadedComment>
</ThreadedComments>
</file>

<file path=xl/threadedComments/threadedComment3.xml><?xml version="1.0" encoding="utf-8"?>
<ThreadedComments xmlns="http://schemas.microsoft.com/office/spreadsheetml/2018/threadedcomments" xmlns:x="http://schemas.openxmlformats.org/spreadsheetml/2006/main">
  <threadedComment ref="D1" dT="2021-02-07T04:40:14.56" personId="{6DA02080-A41F-41B0-9FA1-5BD618F69940}" id="{30FB9FE5-B422-43CE-8A24-8EEC4BC3BF48}">
    <text>この日付がシフト作成の都合上違う場合はこの日付だけ変えてください</text>
  </threadedComment>
</ThreadedComments>
</file>

<file path=xl/threadedComments/threadedComment4.xml><?xml version="1.0" encoding="utf-8"?>
<ThreadedComments xmlns="http://schemas.microsoft.com/office/spreadsheetml/2018/threadedcomments" xmlns:x="http://schemas.openxmlformats.org/spreadsheetml/2006/main">
  <threadedComment ref="C1" dT="2021-02-07T04:40:14.56" personId="{6DA02080-A41F-41B0-9FA1-5BD618F69940}" id="{0B705460-85CB-4867-A562-3C44128D3F99}">
    <text>この日付がシフト作成の都合上違う場合はこの日付だけ変えてください</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 Id="rId4" Type="http://schemas.microsoft.com/office/2017/10/relationships/threadedComment" Target="../threadedComments/threadedComment3.x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66C56-363D-4A23-949C-47D90B914926}">
  <sheetPr codeName="Sheet1"/>
  <dimension ref="A1:T52"/>
  <sheetViews>
    <sheetView zoomScale="60" zoomScaleNormal="60" workbookViewId="0">
      <selection activeCell="T7" sqref="R1:T7"/>
    </sheetView>
  </sheetViews>
  <sheetFormatPr defaultRowHeight="18.75"/>
  <cols>
    <col min="1" max="2" width="12.5" customWidth="1"/>
    <col min="3" max="3" width="12.875" customWidth="1"/>
    <col min="4" max="9" width="14.25" bestFit="1" customWidth="1"/>
    <col min="10" max="10" width="14.25" customWidth="1"/>
    <col min="11" max="11" width="9" customWidth="1"/>
    <col min="12" max="12" width="12.5" customWidth="1"/>
    <col min="14" max="14" width="13.375" customWidth="1"/>
    <col min="15" max="15" width="8.75" customWidth="1"/>
    <col min="16" max="16" width="4.625" customWidth="1"/>
    <col min="20" max="20" width="10.25" bestFit="1" customWidth="1"/>
  </cols>
  <sheetData>
    <row r="1" spans="1:20" ht="32.1" customHeight="1" thickBot="1">
      <c r="A1" s="150" t="s">
        <v>2</v>
      </c>
      <c r="B1" s="151"/>
      <c r="C1" s="69" t="s">
        <v>3</v>
      </c>
      <c r="D1" s="70">
        <v>44263</v>
      </c>
      <c r="E1" s="70">
        <f>D1+1</f>
        <v>44264</v>
      </c>
      <c r="F1" s="71">
        <f t="shared" ref="F1:I1" si="0">E1+1</f>
        <v>44265</v>
      </c>
      <c r="G1" s="72">
        <f t="shared" si="0"/>
        <v>44266</v>
      </c>
      <c r="H1" s="70">
        <f t="shared" si="0"/>
        <v>44267</v>
      </c>
      <c r="I1" s="70">
        <f t="shared" si="0"/>
        <v>44268</v>
      </c>
      <c r="J1" s="73">
        <f>I1+1</f>
        <v>44269</v>
      </c>
      <c r="K1" s="1"/>
      <c r="L1" s="73" t="s">
        <v>95</v>
      </c>
      <c r="N1" s="73" t="s">
        <v>96</v>
      </c>
      <c r="R1" s="96"/>
    </row>
    <row r="2" spans="1:20" ht="32.1" customHeight="1" thickTop="1">
      <c r="A2" s="152"/>
      <c r="B2" s="111" t="s">
        <v>8</v>
      </c>
      <c r="C2" s="3"/>
      <c r="D2" s="4" t="s">
        <v>130</v>
      </c>
      <c r="E2" s="5" t="s">
        <v>131</v>
      </c>
      <c r="F2" s="45" t="s">
        <v>132</v>
      </c>
      <c r="G2" s="40" t="s">
        <v>133</v>
      </c>
      <c r="H2" s="5" t="s">
        <v>134</v>
      </c>
      <c r="I2" s="5" t="s">
        <v>135</v>
      </c>
      <c r="J2" s="74" t="s">
        <v>136</v>
      </c>
      <c r="K2" s="1"/>
      <c r="L2" s="74"/>
      <c r="N2" s="74"/>
      <c r="R2" s="96"/>
    </row>
    <row r="3" spans="1:20" ht="31.5" customHeight="1">
      <c r="A3" s="152"/>
      <c r="B3" s="154" t="s">
        <v>227</v>
      </c>
      <c r="C3" s="157"/>
      <c r="D3" s="62" t="s">
        <v>137</v>
      </c>
      <c r="E3" s="63" t="s">
        <v>138</v>
      </c>
      <c r="F3" s="64" t="s">
        <v>139</v>
      </c>
      <c r="G3" s="64" t="s">
        <v>140</v>
      </c>
      <c r="H3" s="63" t="s">
        <v>215</v>
      </c>
      <c r="I3" s="63" t="s">
        <v>142</v>
      </c>
      <c r="J3" s="75" t="s">
        <v>143</v>
      </c>
      <c r="K3" s="1"/>
      <c r="L3" s="75" t="s">
        <v>98</v>
      </c>
      <c r="N3" s="75" t="s">
        <v>25</v>
      </c>
      <c r="R3" s="96"/>
    </row>
    <row r="4" spans="1:20" ht="32.1" customHeight="1">
      <c r="A4" s="152"/>
      <c r="B4" s="155"/>
      <c r="C4" s="158"/>
      <c r="D4" s="130" t="s">
        <v>144</v>
      </c>
      <c r="E4" s="23" t="s">
        <v>145</v>
      </c>
      <c r="F4" s="46" t="s">
        <v>146</v>
      </c>
      <c r="G4" s="46" t="s">
        <v>147</v>
      </c>
      <c r="H4" s="23" t="s">
        <v>216</v>
      </c>
      <c r="I4" s="23" t="s">
        <v>149</v>
      </c>
      <c r="J4" s="76" t="s">
        <v>150</v>
      </c>
      <c r="K4" s="1"/>
      <c r="L4" s="76" t="s">
        <v>99</v>
      </c>
      <c r="N4" s="76" t="s">
        <v>26</v>
      </c>
      <c r="R4" s="96"/>
    </row>
    <row r="5" spans="1:20" ht="32.1" customHeight="1">
      <c r="A5" s="152"/>
      <c r="B5" s="154" t="s">
        <v>228</v>
      </c>
      <c r="C5" s="159"/>
      <c r="D5" s="129" t="s">
        <v>151</v>
      </c>
      <c r="E5" s="129" t="s">
        <v>152</v>
      </c>
      <c r="F5" s="129" t="s">
        <v>153</v>
      </c>
      <c r="G5" s="129" t="s">
        <v>154</v>
      </c>
      <c r="H5" s="129" t="s">
        <v>141</v>
      </c>
      <c r="I5" s="129" t="s">
        <v>155</v>
      </c>
      <c r="J5" s="100" t="s">
        <v>156</v>
      </c>
      <c r="K5" s="1"/>
      <c r="L5" s="100" t="s">
        <v>87</v>
      </c>
      <c r="M5" s="1"/>
      <c r="N5" s="100" t="s">
        <v>92</v>
      </c>
      <c r="O5" s="1"/>
      <c r="P5" s="97" t="str">
        <f>"↓"&amp;CHAR(10)&amp;"(～21:00)"</f>
        <v>↓
(～21:00)</v>
      </c>
      <c r="Q5" s="1"/>
      <c r="R5" s="96"/>
    </row>
    <row r="6" spans="1:20" ht="32.1" customHeight="1" thickBot="1">
      <c r="A6" s="153"/>
      <c r="B6" s="156"/>
      <c r="C6" s="160"/>
      <c r="D6" s="109" t="s">
        <v>157</v>
      </c>
      <c r="E6" s="110" t="s">
        <v>158</v>
      </c>
      <c r="F6" s="110" t="s">
        <v>159</v>
      </c>
      <c r="G6" s="110" t="s">
        <v>160</v>
      </c>
      <c r="H6" s="110" t="s">
        <v>148</v>
      </c>
      <c r="I6" s="110" t="s">
        <v>214</v>
      </c>
      <c r="J6" s="112" t="s">
        <v>161</v>
      </c>
      <c r="K6" s="1"/>
      <c r="L6" s="112" t="s">
        <v>24</v>
      </c>
      <c r="M6" s="1"/>
      <c r="N6" s="112" t="s">
        <v>97</v>
      </c>
      <c r="O6" s="1"/>
      <c r="P6" s="1"/>
      <c r="Q6" s="1"/>
      <c r="R6" s="96"/>
    </row>
    <row r="7" spans="1:20" ht="32.1" customHeight="1" thickTop="1">
      <c r="A7" s="161"/>
      <c r="B7" s="31" t="s">
        <v>15</v>
      </c>
      <c r="C7" s="61"/>
      <c r="D7" s="101" t="s">
        <v>162</v>
      </c>
      <c r="E7" s="102" t="s">
        <v>163</v>
      </c>
      <c r="F7" s="103" t="s">
        <v>164</v>
      </c>
      <c r="G7" s="104" t="s">
        <v>165</v>
      </c>
      <c r="H7" s="102" t="s">
        <v>166</v>
      </c>
      <c r="I7" s="105"/>
      <c r="J7" s="106"/>
      <c r="K7" s="1"/>
      <c r="L7" s="24"/>
      <c r="M7" s="1"/>
      <c r="N7" s="1"/>
      <c r="O7" s="1"/>
      <c r="P7" s="1"/>
      <c r="Q7" s="1"/>
      <c r="R7" s="96"/>
    </row>
    <row r="8" spans="1:20" ht="32.1" customHeight="1">
      <c r="A8" s="162"/>
      <c r="B8" s="142" t="s">
        <v>5</v>
      </c>
      <c r="C8" s="146"/>
      <c r="D8" s="57" t="s">
        <v>167</v>
      </c>
      <c r="E8" s="57" t="s">
        <v>168</v>
      </c>
      <c r="F8" s="59" t="s">
        <v>169</v>
      </c>
      <c r="G8" s="60" t="s">
        <v>170</v>
      </c>
      <c r="H8" s="57" t="s">
        <v>171</v>
      </c>
      <c r="I8" s="58" t="s">
        <v>172</v>
      </c>
      <c r="J8" s="78"/>
      <c r="K8" s="1"/>
      <c r="L8" s="24"/>
      <c r="M8" s="1"/>
      <c r="N8" s="1"/>
      <c r="O8" s="1"/>
      <c r="P8" s="1"/>
      <c r="Q8" s="1"/>
    </row>
    <row r="9" spans="1:20" ht="32.1" customHeight="1">
      <c r="A9" s="162"/>
      <c r="B9" s="143"/>
      <c r="C9" s="147"/>
      <c r="D9" s="6" t="s">
        <v>173</v>
      </c>
      <c r="E9" s="6" t="s">
        <v>174</v>
      </c>
      <c r="F9" s="47" t="s">
        <v>175</v>
      </c>
      <c r="G9" s="41" t="s">
        <v>176</v>
      </c>
      <c r="H9" s="6" t="s">
        <v>177</v>
      </c>
      <c r="I9" s="30" t="s">
        <v>178</v>
      </c>
      <c r="J9" s="79"/>
      <c r="K9" s="1"/>
      <c r="L9" s="24"/>
      <c r="M9" s="1"/>
      <c r="N9" s="1"/>
      <c r="O9" s="1"/>
      <c r="P9" s="1"/>
      <c r="Q9" s="1"/>
      <c r="T9" s="20"/>
    </row>
    <row r="10" spans="1:20" ht="32.1" customHeight="1">
      <c r="A10" s="162"/>
      <c r="B10" s="141" t="s">
        <v>1</v>
      </c>
      <c r="C10" s="148"/>
      <c r="D10" s="108" t="s">
        <v>179</v>
      </c>
      <c r="E10" s="108" t="s">
        <v>180</v>
      </c>
      <c r="F10" s="108" t="s">
        <v>181</v>
      </c>
      <c r="G10" s="108" t="s">
        <v>182</v>
      </c>
      <c r="H10" s="108" t="s">
        <v>183</v>
      </c>
      <c r="I10" s="108" t="s">
        <v>184</v>
      </c>
      <c r="J10" s="80"/>
      <c r="K10" s="1"/>
      <c r="L10" s="24"/>
      <c r="M10" s="1"/>
      <c r="N10" s="1"/>
      <c r="O10" s="1"/>
      <c r="P10" s="97" t="str">
        <f>"↓"&amp;CHAR(10)&amp;"(～20:30)"</f>
        <v>↓
(～20:30)</v>
      </c>
      <c r="Q10" s="1"/>
    </row>
    <row r="11" spans="1:20" ht="32.1" customHeight="1" thickBot="1">
      <c r="A11" s="162"/>
      <c r="B11" s="142"/>
      <c r="C11" s="149"/>
      <c r="D11" s="107" t="s">
        <v>185</v>
      </c>
      <c r="E11" s="107" t="s">
        <v>186</v>
      </c>
      <c r="F11" s="107" t="s">
        <v>187</v>
      </c>
      <c r="G11" s="107" t="s">
        <v>188</v>
      </c>
      <c r="H11" s="107" t="s">
        <v>189</v>
      </c>
      <c r="I11" s="107" t="s">
        <v>190</v>
      </c>
      <c r="J11" s="81"/>
      <c r="K11" s="1"/>
      <c r="L11" s="24"/>
      <c r="M11" s="1"/>
      <c r="N11" s="1"/>
      <c r="O11" s="1"/>
      <c r="P11" s="1"/>
      <c r="Q11" s="1"/>
    </row>
    <row r="12" spans="1:20" ht="32.1" customHeight="1" thickTop="1" thickBot="1">
      <c r="A12" s="139"/>
      <c r="B12" s="140"/>
      <c r="C12" s="7"/>
      <c r="D12" s="8" t="s">
        <v>191</v>
      </c>
      <c r="E12" s="8" t="s">
        <v>192</v>
      </c>
      <c r="F12" s="48" t="s">
        <v>193</v>
      </c>
      <c r="G12" s="12" t="s">
        <v>194</v>
      </c>
      <c r="H12" s="8" t="s">
        <v>195</v>
      </c>
      <c r="I12" s="9"/>
      <c r="J12" s="82"/>
      <c r="K12" s="1"/>
      <c r="L12" s="25"/>
      <c r="M12" s="1"/>
      <c r="N12" s="1"/>
      <c r="O12" s="1"/>
      <c r="P12" s="1"/>
      <c r="Q12" s="1"/>
    </row>
    <row r="13" spans="1:20" ht="32.1" customHeight="1" thickTop="1" thickBot="1">
      <c r="A13" s="139"/>
      <c r="B13" s="140"/>
      <c r="C13" s="10"/>
      <c r="D13" s="13" t="s">
        <v>196</v>
      </c>
      <c r="E13" s="8" t="s">
        <v>197</v>
      </c>
      <c r="F13" s="48" t="s">
        <v>198</v>
      </c>
      <c r="G13" s="12" t="s">
        <v>199</v>
      </c>
      <c r="H13" s="8" t="s">
        <v>200</v>
      </c>
      <c r="I13" s="11"/>
      <c r="J13" s="82"/>
      <c r="K13" s="1"/>
      <c r="L13" s="24"/>
      <c r="O13" s="1"/>
    </row>
    <row r="14" spans="1:20" ht="32.1" customHeight="1" thickTop="1" thickBot="1">
      <c r="A14" s="144"/>
      <c r="B14" s="145"/>
      <c r="C14" s="21"/>
      <c r="D14" s="32" t="s">
        <v>201</v>
      </c>
      <c r="E14" s="32" t="s">
        <v>202</v>
      </c>
      <c r="F14" s="49" t="s">
        <v>203</v>
      </c>
      <c r="G14" s="42" t="s">
        <v>204</v>
      </c>
      <c r="H14" s="32" t="s">
        <v>205</v>
      </c>
      <c r="I14" s="32" t="s">
        <v>206</v>
      </c>
      <c r="J14" s="83"/>
      <c r="K14" s="1"/>
      <c r="L14" s="24"/>
    </row>
    <row r="15" spans="1:20" ht="32.1" customHeight="1" thickTop="1" thickBot="1">
      <c r="A15" s="116"/>
      <c r="B15" s="33" t="str">
        <f>IF(A15="年休","","見習")</f>
        <v>見習</v>
      </c>
      <c r="C15" s="38"/>
      <c r="D15" s="27" t="s">
        <v>223</v>
      </c>
      <c r="E15" s="35"/>
      <c r="F15" s="50"/>
      <c r="G15" s="33"/>
      <c r="H15" s="35"/>
      <c r="I15" s="35"/>
      <c r="J15" s="85"/>
      <c r="K15" s="1"/>
      <c r="L15" s="137"/>
      <c r="N15" t="s">
        <v>52</v>
      </c>
    </row>
    <row r="16" spans="1:20" ht="32.1" customHeight="1" thickTop="1" thickBot="1">
      <c r="A16" s="116"/>
      <c r="B16" s="33" t="str">
        <f t="shared" ref="B16:B22" si="1">IF(A16="年休","","見習")</f>
        <v>見習</v>
      </c>
      <c r="C16" s="38"/>
      <c r="D16" s="27"/>
      <c r="E16" s="15" t="s">
        <v>224</v>
      </c>
      <c r="F16" s="51"/>
      <c r="G16" s="43"/>
      <c r="H16" s="15"/>
      <c r="I16" s="15"/>
      <c r="J16" s="77"/>
      <c r="K16" s="1"/>
      <c r="L16" s="24"/>
      <c r="N16" t="s">
        <v>52</v>
      </c>
    </row>
    <row r="17" spans="1:14" ht="32.1" customHeight="1" thickTop="1" thickBot="1">
      <c r="A17" s="116"/>
      <c r="B17" s="68" t="str">
        <f t="shared" si="1"/>
        <v>見習</v>
      </c>
      <c r="C17" s="38" t="str">
        <f>IF(
         COUNTA(
          I17
    ) = 0,
         IFERROR(
                 INDEX(
              データ処理部!$A$25:$B$36,
                         MATCH(
                  Sheet1!A17,
                  データ処理部!$A$25:$A$36,
            ),
              2
        ),
          ""
    ),
         IF(
                 AND(
            OR(
                  A17 = "烏丸遅番",
                  A17 = "烏丸早番ロング",
                  A17 = "烏丸ロング"
            ) =
            TRUE,
                         COUNTA(
                  D17:H17
            ) &gt; 0
        ) =
        TRUE,
          "平日と土曜で" &amp;
        CHAR(
            10
        ) &amp; "時刻が違います",
                 IFERROR(
                         INDEX(
                  データ処理部!$A$39:$B$50,
                                 MATCH(
                      Sheet1!A17,
                      データ処理部!$A$39:$A$50,
                ),
                  2
            ),
              ""
        )
    )
)</f>
        <v/>
      </c>
      <c r="D17" s="27"/>
      <c r="E17" s="27"/>
      <c r="F17" s="52"/>
      <c r="G17" s="37"/>
      <c r="H17" s="27"/>
      <c r="I17" s="27"/>
      <c r="J17" s="88"/>
      <c r="K17" s="1"/>
      <c r="L17" s="24"/>
      <c r="N17" t="s">
        <v>52</v>
      </c>
    </row>
    <row r="18" spans="1:14" ht="32.1" customHeight="1" thickTop="1" thickBot="1">
      <c r="A18" s="116"/>
      <c r="B18" s="33" t="str">
        <f t="shared" si="1"/>
        <v>見習</v>
      </c>
      <c r="C18" s="38" t="str">
        <f>IF(
         COUNTA(
          I18
    ) = 0,
         IFERROR(
                 INDEX(
              データ処理部!$A$25:$B$36,
                         MATCH(
                  Sheet1!A18,
                  データ処理部!$A$25:$A$36,
            ),
              2
        ),
          ""
    ),
         IF(
                 AND(
            OR(
                  A18 = "烏丸遅番",
                  A18 = "烏丸早番ロング",
                  A18 = "烏丸ロング"
            ) =
            TRUE,
                         COUNTA(
                  D18:H18
            ) &gt; 0
        ) =
        TRUE,
          "平日と土曜で" &amp;
        CHAR(
            10
        ) &amp; "時刻が違います",
                 IFERROR(
                         INDEX(
                  データ処理部!$A$39:$B$50,
                                 MATCH(
                      Sheet1!A18,
                      データ処理部!$A$39:$A$50,
                ),
                  2
            ),
              ""
        )
    )
)</f>
        <v/>
      </c>
      <c r="D18" s="39"/>
      <c r="E18" s="39"/>
      <c r="F18" s="53"/>
      <c r="G18" s="56"/>
      <c r="H18" s="39"/>
      <c r="I18" s="35"/>
      <c r="J18" s="89"/>
      <c r="K18" s="1"/>
      <c r="L18" s="24"/>
      <c r="N18" t="s">
        <v>52</v>
      </c>
    </row>
    <row r="19" spans="1:14" ht="32.1" customHeight="1" thickTop="1" thickBot="1">
      <c r="A19" s="116"/>
      <c r="B19" s="33" t="str">
        <f t="shared" si="1"/>
        <v>見習</v>
      </c>
      <c r="C19" s="38" t="str">
        <f>IF(
         COUNTA(
          I19
    ) = 0,
         IFERROR(
                 INDEX(
              データ処理部!$A$25:$B$36,
                         MATCH(
                  Sheet1!A19,
                  データ処理部!$A$25:$A$36,
            ),
              2
        ),
          ""
    ),
         IF(
                 AND(
            OR(
                  A19 = "烏丸遅番",
                  A19 = "烏丸早番ロング",
                  A19 = "烏丸ロング"
            ) =
            TRUE,
                         COUNTA(
                  D19:H19
            ) &gt; 0
        ) =
        TRUE,
          "平日と土曜で" &amp;
        CHAR(
            10
        ) &amp; "時刻が違います",
                 IFERROR(
                         INDEX(
                  データ処理部!$A$39:$B$50,
                                 MATCH(
                      Sheet1!A19,
                      データ処理部!$A$39:$A$50,
                ),
                  2
            ),
              ""
        )
    )
)</f>
        <v/>
      </c>
      <c r="D19" s="15"/>
      <c r="E19" s="15"/>
      <c r="F19" s="54" t="s">
        <v>220</v>
      </c>
      <c r="G19" s="43"/>
      <c r="H19" s="15"/>
      <c r="I19" s="15"/>
      <c r="J19" s="90"/>
      <c r="K19" s="1"/>
      <c r="L19" s="24"/>
      <c r="N19" t="s">
        <v>52</v>
      </c>
    </row>
    <row r="20" spans="1:14" ht="32.1" customHeight="1" thickTop="1" thickBot="1">
      <c r="A20" s="116"/>
      <c r="B20" s="33" t="str">
        <f t="shared" si="1"/>
        <v>見習</v>
      </c>
      <c r="C20" s="38" t="str">
        <f>IF(
         COUNTA(
          I20
    ) = 0,
         IFERROR(
                 INDEX(
              データ処理部!$A$25:$B$36,
                         MATCH(
                  Sheet1!A20,
                  データ処理部!$A$25:$A$36,
            ),
              2
        ),
          ""
    ),
         IF(
                 AND(
            OR(
                  A20 = "烏丸遅番",
                  A20 = "烏丸早番ロング",
                  A20 = "烏丸ロング"
            ) =
            TRUE,
                         COUNTA(
                  D20:H20
            ) &gt; 0
        ) =
        TRUE,
          "平日と土曜で" &amp;
        CHAR(
            10
        ) &amp; "時刻が違います",
                 IFERROR(
                         INDEX(
                  データ処理部!$A$39:$B$50,
                                 MATCH(
                      Sheet1!A20,
                      データ処理部!$A$39:$A$50,
                ),
                  2
            ),
              ""
        )
    )
)</f>
        <v/>
      </c>
      <c r="D20" s="27"/>
      <c r="E20" s="8"/>
      <c r="F20" s="48" t="s">
        <v>222</v>
      </c>
      <c r="G20" s="12"/>
      <c r="H20" s="8"/>
      <c r="I20" s="8" t="s">
        <v>222</v>
      </c>
      <c r="J20" s="92"/>
      <c r="K20" s="1"/>
      <c r="L20" s="24"/>
      <c r="N20" t="s">
        <v>52</v>
      </c>
    </row>
    <row r="21" spans="1:14" ht="32.1" customHeight="1" thickTop="1" thickBot="1">
      <c r="A21" s="116"/>
      <c r="B21" s="33" t="str">
        <f t="shared" si="1"/>
        <v>見習</v>
      </c>
      <c r="C21" s="38" t="str">
        <f>IF(
         COUNTA(
          I21
    ) = 0,
         IFERROR(
                 INDEX(
              データ処理部!$A$25:$B$36,
                         MATCH(
                  Sheet1!A21,
                  データ処理部!$A$25:$A$36,
            ),
              2
        ),
          ""
    ),
         IF(
                 AND(
            OR(
                  A21 = "烏丸遅番",
                  A21 = "烏丸早番ロング",
                  A21 = "烏丸ロング"
            ) =
            TRUE,
                         COUNTA(
                  D21:H21
            ) &gt; 0
        ) =
        TRUE,
          "平日と土曜で" &amp;
        CHAR(
            10
        ) &amp; "時刻が違います",
                 IFERROR(
                         INDEX(
                  データ処理部!$A$39:$B$50,
                                 MATCH(
                      Sheet1!A21,
                      データ処理部!$A$39:$A$50,
                ),
                  2
            ),
              ""
        )
    )
)</f>
        <v/>
      </c>
      <c r="D21" s="27"/>
      <c r="E21" s="26"/>
      <c r="F21" s="55"/>
      <c r="G21" s="44"/>
      <c r="H21" s="26"/>
      <c r="I21" s="26"/>
      <c r="J21" s="94"/>
      <c r="K21" s="1"/>
      <c r="L21" s="24"/>
      <c r="N21" t="s">
        <v>52</v>
      </c>
    </row>
    <row r="22" spans="1:14" ht="30" customHeight="1" thickTop="1" thickBot="1">
      <c r="A22" s="133"/>
      <c r="B22" s="95" t="str">
        <f t="shared" si="1"/>
        <v>見習</v>
      </c>
      <c r="C22" s="38" t="str">
        <f>IF(
         COUNTA(
          I22
    ) = 0,
         IFERROR(
                 INDEX(
              データ処理部!$A$25:$B$36,
                         MATCH(
                  Sheet1!A22,
                  データ処理部!$A$25:$A$36,
            ),
              2
        ),
          ""
    ),
         IF(
                 AND(
            OR(
                  A22 = "烏丸遅番",
                  A22 = "烏丸早番ロング",
                  A22 = "烏丸ロング"
            ) =
            TRUE,
                         COUNTA(
                  D22:H22
            ) &gt; 0
        ) =
        TRUE,
          "平日と土曜で" &amp;
        CHAR(
            10
        ) &amp; "時刻が違います",
                 IFERROR(
                         INDEX(
                  データ処理部!$A$39:$B$50,
                                 MATCH(
                      Sheet1!A22,
                      データ処理部!$A$39:$A$50,
                ),
                  2
            ),
              ""
        )
    )
)</f>
        <v/>
      </c>
      <c r="D22" s="26"/>
      <c r="E22" s="26"/>
      <c r="F22" s="55"/>
      <c r="G22" s="44"/>
      <c r="H22" s="26"/>
      <c r="I22" s="26"/>
      <c r="J22" s="94"/>
      <c r="K22" s="1"/>
      <c r="L22" s="24"/>
      <c r="N22" t="s">
        <v>52</v>
      </c>
    </row>
    <row r="23" spans="1:14" ht="18.75" customHeight="1">
      <c r="A23" s="24" t="str">
        <f t="shared" ref="A23:A31" si="2">IF(COUNTIF(F23:J23,"&lt;&gt;")=0,"","年休")</f>
        <v/>
      </c>
      <c r="B23" s="24"/>
      <c r="C23" s="28"/>
      <c r="F23" s="1"/>
      <c r="K23" s="1" t="str">
        <f>IF(A23="年休","","※年休欄,曜日に名前を入れると年休が自動表示される")</f>
        <v>※年休欄,曜日に名前を入れると年休が自動表示される</v>
      </c>
      <c r="L23" s="65"/>
    </row>
    <row r="24" spans="1:14" ht="18.75" customHeight="1">
      <c r="A24" s="24" t="str">
        <f t="shared" si="2"/>
        <v/>
      </c>
      <c r="B24" s="24"/>
      <c r="C24" s="28"/>
      <c r="F24" s="1"/>
      <c r="K24" s="1" t="str">
        <f t="shared" ref="K24:K40" si="3">IF(A24="年休","","※年休欄,曜日に名前を入れると年休が自動表示される")</f>
        <v>※年休欄,曜日に名前を入れると年休が自動表示される</v>
      </c>
      <c r="L24" s="25"/>
    </row>
    <row r="25" spans="1:14" ht="18.75" customHeight="1">
      <c r="A25" s="24" t="str">
        <f t="shared" si="2"/>
        <v/>
      </c>
      <c r="B25" s="24"/>
      <c r="C25" s="28"/>
      <c r="F25" s="1"/>
      <c r="K25" s="1" t="str">
        <f t="shared" si="3"/>
        <v>※年休欄,曜日に名前を入れると年休が自動表示される</v>
      </c>
      <c r="L25" s="25"/>
    </row>
    <row r="26" spans="1:14" ht="18.75" customHeight="1">
      <c r="A26" s="24" t="str">
        <f t="shared" si="2"/>
        <v/>
      </c>
      <c r="B26" s="22"/>
      <c r="C26" s="1"/>
      <c r="D26" s="1"/>
      <c r="E26" s="1"/>
      <c r="G26" s="1"/>
      <c r="H26" s="1"/>
      <c r="I26" s="1"/>
      <c r="J26" s="1"/>
      <c r="K26" s="1" t="str">
        <f t="shared" si="3"/>
        <v>※年休欄,曜日に名前を入れると年休が自動表示される</v>
      </c>
      <c r="L26" s="25"/>
    </row>
    <row r="27" spans="1:14" ht="18.75" customHeight="1">
      <c r="A27" s="24" t="str">
        <f t="shared" si="2"/>
        <v/>
      </c>
      <c r="B27" s="22"/>
      <c r="C27" s="1"/>
      <c r="D27" s="1"/>
      <c r="E27" s="1"/>
      <c r="F27" s="1"/>
      <c r="G27" s="1"/>
      <c r="H27" s="1"/>
      <c r="I27" s="1"/>
      <c r="J27" s="1"/>
      <c r="K27" s="1" t="str">
        <f t="shared" si="3"/>
        <v>※年休欄,曜日に名前を入れると年休が自動表示される</v>
      </c>
    </row>
    <row r="28" spans="1:14" ht="18.75" customHeight="1">
      <c r="A28" s="24" t="str">
        <f t="shared" si="2"/>
        <v/>
      </c>
      <c r="B28" s="22"/>
      <c r="C28" s="1"/>
      <c r="D28" s="1"/>
      <c r="E28" s="1"/>
      <c r="F28" s="1"/>
      <c r="G28" s="1"/>
      <c r="H28" s="1"/>
      <c r="I28" s="1"/>
      <c r="J28" s="1"/>
      <c r="K28" s="1" t="str">
        <f t="shared" si="3"/>
        <v>※年休欄,曜日に名前を入れると年休が自動表示される</v>
      </c>
    </row>
    <row r="29" spans="1:14" ht="18.75" customHeight="1">
      <c r="A29" s="24" t="str">
        <f t="shared" si="2"/>
        <v/>
      </c>
      <c r="B29" s="22"/>
      <c r="K29" s="1" t="str">
        <f t="shared" si="3"/>
        <v>※年休欄,曜日に名前を入れると年休が自動表示される</v>
      </c>
    </row>
    <row r="30" spans="1:14" ht="18.75" customHeight="1">
      <c r="A30" s="24" t="str">
        <f t="shared" si="2"/>
        <v/>
      </c>
      <c r="B30" s="22"/>
      <c r="K30" s="1" t="str">
        <f t="shared" si="3"/>
        <v>※年休欄,曜日に名前を入れると年休が自動表示される</v>
      </c>
    </row>
    <row r="31" spans="1:14" ht="18.75" customHeight="1">
      <c r="A31" s="24" t="str">
        <f t="shared" si="2"/>
        <v/>
      </c>
      <c r="B31" s="22"/>
      <c r="K31" s="1" t="str">
        <f t="shared" si="3"/>
        <v>※年休欄,曜日に名前を入れると年休が自動表示される</v>
      </c>
    </row>
    <row r="32" spans="1:14" ht="18.75" customHeight="1">
      <c r="A32" s="24" t="str">
        <f t="shared" ref="A32:A40" si="4">IF(COUNTIF(D32:J32,"&lt;&gt;")=0,"","年休")</f>
        <v/>
      </c>
      <c r="B32" s="22"/>
      <c r="K32" s="1" t="str">
        <f t="shared" si="3"/>
        <v>※年休欄,曜日に名前を入れると年休が自動表示される</v>
      </c>
    </row>
    <row r="33" spans="1:11" ht="18.75" customHeight="1">
      <c r="A33" s="24" t="str">
        <f t="shared" si="4"/>
        <v/>
      </c>
      <c r="B33" s="22"/>
      <c r="K33" s="1" t="str">
        <f t="shared" si="3"/>
        <v>※年休欄,曜日に名前を入れると年休が自動表示される</v>
      </c>
    </row>
    <row r="34" spans="1:11" ht="18.75" customHeight="1">
      <c r="A34" s="24" t="str">
        <f t="shared" si="4"/>
        <v/>
      </c>
      <c r="K34" s="1" t="str">
        <f t="shared" si="3"/>
        <v>※年休欄,曜日に名前を入れると年休が自動表示される</v>
      </c>
    </row>
    <row r="35" spans="1:11" ht="18.75" customHeight="1">
      <c r="A35" s="24" t="str">
        <f t="shared" si="4"/>
        <v/>
      </c>
      <c r="K35" s="1" t="str">
        <f t="shared" si="3"/>
        <v>※年休欄,曜日に名前を入れると年休が自動表示される</v>
      </c>
    </row>
    <row r="36" spans="1:11" ht="18.75" customHeight="1">
      <c r="A36" s="24" t="str">
        <f t="shared" si="4"/>
        <v/>
      </c>
      <c r="K36" s="1" t="str">
        <f t="shared" si="3"/>
        <v>※年休欄,曜日に名前を入れると年休が自動表示される</v>
      </c>
    </row>
    <row r="37" spans="1:11" ht="18.75" customHeight="1">
      <c r="A37" s="24" t="str">
        <f t="shared" si="4"/>
        <v/>
      </c>
      <c r="K37" s="1" t="str">
        <f t="shared" si="3"/>
        <v>※年休欄,曜日に名前を入れると年休が自動表示される</v>
      </c>
    </row>
    <row r="38" spans="1:11" ht="18.75" customHeight="1">
      <c r="A38" s="24" t="str">
        <f t="shared" si="4"/>
        <v/>
      </c>
      <c r="K38" s="1" t="str">
        <f t="shared" si="3"/>
        <v>※年休欄,曜日に名前を入れると年休が自動表示される</v>
      </c>
    </row>
    <row r="39" spans="1:11" ht="18.75" customHeight="1">
      <c r="A39" s="24" t="str">
        <f t="shared" si="4"/>
        <v/>
      </c>
      <c r="K39" s="1" t="str">
        <f t="shared" si="3"/>
        <v>※年休欄,曜日に名前を入れると年休が自動表示される</v>
      </c>
    </row>
    <row r="40" spans="1:11" ht="18.75" customHeight="1">
      <c r="A40" s="24" t="str">
        <f t="shared" si="4"/>
        <v/>
      </c>
      <c r="K40" s="1" t="str">
        <f t="shared" si="3"/>
        <v>※年休欄,曜日に名前を入れると年休が自動表示される</v>
      </c>
    </row>
    <row r="41" spans="1:11" ht="18.75" customHeight="1"/>
    <row r="42" spans="1:11" ht="18.75" customHeight="1">
      <c r="D42" s="24"/>
    </row>
    <row r="43" spans="1:11" ht="18.75" customHeight="1">
      <c r="D43" s="24"/>
    </row>
    <row r="44" spans="1:11" ht="18.75" customHeight="1"/>
    <row r="45" spans="1:11" ht="18.75" customHeight="1"/>
    <row r="46" spans="1:11" ht="18.75" customHeight="1"/>
    <row r="47" spans="1:11" ht="18.75" customHeight="1"/>
    <row r="48" spans="1:11" ht="18.75" customHeight="1"/>
    <row r="49" ht="18.75" customHeight="1"/>
    <row r="50" ht="18.75" customHeight="1"/>
    <row r="51" ht="18.75" customHeight="1"/>
    <row r="52" ht="18.75" customHeight="1"/>
  </sheetData>
  <mergeCells count="14">
    <mergeCell ref="C8:C9"/>
    <mergeCell ref="C10:C11"/>
    <mergeCell ref="A1:B1"/>
    <mergeCell ref="A2:A6"/>
    <mergeCell ref="B3:B4"/>
    <mergeCell ref="B5:B6"/>
    <mergeCell ref="C3:C4"/>
    <mergeCell ref="C5:C6"/>
    <mergeCell ref="A7:A11"/>
    <mergeCell ref="A12:B12"/>
    <mergeCell ref="A13:B13"/>
    <mergeCell ref="B10:B11"/>
    <mergeCell ref="B8:B9"/>
    <mergeCell ref="A14:B14"/>
  </mergeCells>
  <phoneticPr fontId="7"/>
  <pageMargins left="0.7" right="0.7" top="0.75" bottom="0.75" header="0.3" footer="0.3"/>
  <pageSetup paperSize="9" orientation="portrait" horizontalDpi="360" verticalDpi="360"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87E04713-1158-499E-A474-59B3958D36A1}">
            <xm:f>AND(エラー訂正部!$D$3&gt;エラー訂正部!$D$4,COUNTIF($D$5,"*:*")=0)</xm:f>
            <x14:dxf>
              <fill>
                <patternFill>
                  <bgColor rgb="FFFFFF00"/>
                </patternFill>
              </fill>
            </x14:dxf>
          </x14:cfRule>
          <xm:sqref>D3:D4</xm:sqref>
        </x14:conditionalFormatting>
        <x14:conditionalFormatting xmlns:xm="http://schemas.microsoft.com/office/excel/2006/main">
          <x14:cfRule type="expression" priority="26" id="{EE75840D-36E2-4A05-BA00-60F3CD1937F1}">
            <xm:f>AND(エラー訂正部!$D$5&gt;エラー訂正部!$D$6,COUNTIF($D$5,"*:*")=0)</xm:f>
            <x14:dxf>
              <fill>
                <patternFill>
                  <bgColor rgb="FFFFFF00"/>
                </patternFill>
              </fill>
            </x14:dxf>
          </x14:cfRule>
          <xm:sqref>D5:D6</xm:sqref>
        </x14:conditionalFormatting>
        <x14:conditionalFormatting xmlns:xm="http://schemas.microsoft.com/office/excel/2006/main">
          <x14:cfRule type="expression" priority="25" id="{E8DB6F93-4018-47ED-84A7-1E5AF3C6B2B5}">
            <xm:f>AND(エラー訂正部!$E$3&gt;エラー訂正部!$E$4,COUNTIF($E$5,"*:*")=0)</xm:f>
            <x14:dxf>
              <fill>
                <patternFill>
                  <bgColor rgb="FFFFFF00"/>
                </patternFill>
              </fill>
            </x14:dxf>
          </x14:cfRule>
          <xm:sqref>E3:E4</xm:sqref>
        </x14:conditionalFormatting>
        <x14:conditionalFormatting xmlns:xm="http://schemas.microsoft.com/office/excel/2006/main">
          <x14:cfRule type="expression" priority="24" id="{D9366768-F74A-4A6E-876E-F6E406F0CD41}">
            <xm:f>AND(エラー訂正部!$F$3&gt;エラー訂正部!$F$4,COUNTIF($F$5,"*:*")=0)</xm:f>
            <x14:dxf>
              <fill>
                <patternFill>
                  <bgColor rgb="FFFFFF00"/>
                </patternFill>
              </fill>
            </x14:dxf>
          </x14:cfRule>
          <xm:sqref>F3:F4</xm:sqref>
        </x14:conditionalFormatting>
        <x14:conditionalFormatting xmlns:xm="http://schemas.microsoft.com/office/excel/2006/main">
          <x14:cfRule type="expression" priority="22" id="{3C7AF3A0-B29D-4213-9455-F125C82AB8DE}">
            <xm:f>AND(エラー訂正部!$G$3&gt;エラー訂正部!$G$4,COUNTIF($G$5,"*:*")=0)</xm:f>
            <x14:dxf>
              <fill>
                <patternFill>
                  <bgColor rgb="FFFFFF00"/>
                </patternFill>
              </fill>
            </x14:dxf>
          </x14:cfRule>
          <xm:sqref>G3:G4</xm:sqref>
        </x14:conditionalFormatting>
        <x14:conditionalFormatting xmlns:xm="http://schemas.microsoft.com/office/excel/2006/main">
          <x14:cfRule type="expression" priority="21" id="{CCC75435-B581-4547-81B0-5D0B175C7BD6}">
            <xm:f>AND(エラー訂正部!$H$3&gt;エラー訂正部!$H$4,COUNTIF($H$5,"*:*")=0)</xm:f>
            <x14:dxf>
              <fill>
                <patternFill>
                  <bgColor rgb="FFFFFF00"/>
                </patternFill>
              </fill>
            </x14:dxf>
          </x14:cfRule>
          <xm:sqref>H3:H4</xm:sqref>
        </x14:conditionalFormatting>
        <x14:conditionalFormatting xmlns:xm="http://schemas.microsoft.com/office/excel/2006/main">
          <x14:cfRule type="expression" priority="20" id="{BDC42A61-4ABE-4BA0-A8AB-B07D32FAE314}">
            <xm:f>AND(エラー訂正部!$I$3&gt;エラー訂正部!$I$4,COUNTIF($I$5,"*:*")=0)</xm:f>
            <x14:dxf>
              <fill>
                <patternFill>
                  <bgColor rgb="FFFFFF00"/>
                </patternFill>
              </fill>
            </x14:dxf>
          </x14:cfRule>
          <xm:sqref>I3:I4</xm:sqref>
        </x14:conditionalFormatting>
        <x14:conditionalFormatting xmlns:xm="http://schemas.microsoft.com/office/excel/2006/main">
          <x14:cfRule type="expression" priority="19" id="{390ADC2D-2D7E-464A-9055-6A0C291E20F8}">
            <xm:f>AND(エラー訂正部!$J$3&gt;エラー訂正部!$J$4,COUNTIF($J$5,"*:*")=0)</xm:f>
            <x14:dxf>
              <fill>
                <patternFill>
                  <bgColor rgb="FFFFFF00"/>
                </patternFill>
              </fill>
            </x14:dxf>
          </x14:cfRule>
          <xm:sqref>J3:J4</xm:sqref>
        </x14:conditionalFormatting>
        <x14:conditionalFormatting xmlns:xm="http://schemas.microsoft.com/office/excel/2006/main">
          <x14:cfRule type="expression" priority="18" id="{D7A1E1CE-B300-49E8-A496-F8E592785693}">
            <xm:f>AND(エラー訂正部!$E$5&gt;エラー訂正部!$E$6,COUNTIF($E$5,"*:*")=0)</xm:f>
            <x14:dxf>
              <fill>
                <patternFill>
                  <bgColor rgb="FFFFFF00"/>
                </patternFill>
              </fill>
            </x14:dxf>
          </x14:cfRule>
          <xm:sqref>E5:E6</xm:sqref>
        </x14:conditionalFormatting>
        <x14:conditionalFormatting xmlns:xm="http://schemas.microsoft.com/office/excel/2006/main">
          <x14:cfRule type="expression" priority="17" id="{2EB35736-5E7F-4095-8E15-B3E5745E33D6}">
            <xm:f>AND(エラー訂正部!$F$5&gt;エラー訂正部!$F$6,COUNTIF($F$5,"*:*")=0)</xm:f>
            <x14:dxf>
              <fill>
                <patternFill>
                  <bgColor rgb="FFFFFF00"/>
                </patternFill>
              </fill>
            </x14:dxf>
          </x14:cfRule>
          <xm:sqref>F5:F6</xm:sqref>
        </x14:conditionalFormatting>
        <x14:conditionalFormatting xmlns:xm="http://schemas.microsoft.com/office/excel/2006/main">
          <x14:cfRule type="expression" priority="16" id="{BA6A7D32-C987-42CE-8DD1-98A439C5C99A}">
            <xm:f>AND(エラー訂正部!$G$5&gt;エラー訂正部!$G$6,COUNTIF($G$5,"*:*")=0)</xm:f>
            <x14:dxf>
              <fill>
                <patternFill>
                  <bgColor rgb="FFFFFF00"/>
                </patternFill>
              </fill>
            </x14:dxf>
          </x14:cfRule>
          <xm:sqref>G5:G6</xm:sqref>
        </x14:conditionalFormatting>
        <x14:conditionalFormatting xmlns:xm="http://schemas.microsoft.com/office/excel/2006/main">
          <x14:cfRule type="expression" priority="15" id="{D771E527-BC9F-4F13-9178-F7628BE60DEF}">
            <xm:f>AND(エラー訂正部!$H$5&gt;エラー訂正部!$H$6,COUNTIF($H$5,"*:*")=0)</xm:f>
            <x14:dxf>
              <fill>
                <patternFill>
                  <bgColor rgb="FFFFFF00"/>
                </patternFill>
              </fill>
            </x14:dxf>
          </x14:cfRule>
          <xm:sqref>H5:H6</xm:sqref>
        </x14:conditionalFormatting>
        <x14:conditionalFormatting xmlns:xm="http://schemas.microsoft.com/office/excel/2006/main">
          <x14:cfRule type="expression" priority="14" id="{D15278D4-5A93-4D61-9F16-45A5CB87B2AA}">
            <xm:f>AND(エラー訂正部!$I$5&gt;エラー訂正部!$I$6,COUNTIF($I$5,"*:*")=0)</xm:f>
            <x14:dxf>
              <fill>
                <patternFill>
                  <bgColor rgb="FFFFFF00"/>
                </patternFill>
              </fill>
            </x14:dxf>
          </x14:cfRule>
          <xm:sqref>I5:I6</xm:sqref>
        </x14:conditionalFormatting>
        <x14:conditionalFormatting xmlns:xm="http://schemas.microsoft.com/office/excel/2006/main">
          <x14:cfRule type="expression" priority="13" id="{E80C4419-DECB-4E4D-A14E-846ECEAF53FE}">
            <xm:f>AND(エラー訂正部!$J$5&gt;エラー訂正部!$J$6,COUNTIF($J$5,"*:*")=0)</xm:f>
            <x14:dxf>
              <fill>
                <patternFill>
                  <bgColor rgb="FFFFFF00"/>
                </patternFill>
              </fill>
            </x14:dxf>
          </x14:cfRule>
          <xm:sqref>J5:J6</xm:sqref>
        </x14:conditionalFormatting>
        <x14:conditionalFormatting xmlns:xm="http://schemas.microsoft.com/office/excel/2006/main">
          <x14:cfRule type="expression" priority="12" id="{94A93632-08EE-41A6-B67A-61E17A2B0F11}">
            <xm:f>AND(エラー訂正部!$D$8&gt;エラー訂正部!$D$9,COUNTIF($D$10,"*:*")=0)</xm:f>
            <x14:dxf>
              <fill>
                <patternFill>
                  <bgColor rgb="FFFFFF00"/>
                </patternFill>
              </fill>
            </x14:dxf>
          </x14:cfRule>
          <xm:sqref>D8:D9</xm:sqref>
        </x14:conditionalFormatting>
        <x14:conditionalFormatting xmlns:xm="http://schemas.microsoft.com/office/excel/2006/main">
          <x14:cfRule type="expression" priority="11" id="{10AE1C38-18AA-4ACB-AECE-4628EAD1A398}">
            <xm:f>AND(エラー訂正部!$E$8&gt;エラー訂正部!$E$9,COUNTIF($E$10,"*:*")=0)</xm:f>
            <x14:dxf>
              <fill>
                <patternFill>
                  <bgColor rgb="FFFFFF00"/>
                </patternFill>
              </fill>
            </x14:dxf>
          </x14:cfRule>
          <xm:sqref>E8:E9</xm:sqref>
        </x14:conditionalFormatting>
        <x14:conditionalFormatting xmlns:xm="http://schemas.microsoft.com/office/excel/2006/main">
          <x14:cfRule type="expression" priority="10" id="{668495DA-D938-405C-BABC-BAC2FC2DBC85}">
            <xm:f>AND(エラー訂正部!$F$8&gt;エラー訂正部!$F$9,COUNTIF($F$10,"*:*")=0)</xm:f>
            <x14:dxf>
              <fill>
                <patternFill>
                  <bgColor rgb="FFFFFF00"/>
                </patternFill>
              </fill>
            </x14:dxf>
          </x14:cfRule>
          <xm:sqref>F8:F9</xm:sqref>
        </x14:conditionalFormatting>
        <x14:conditionalFormatting xmlns:xm="http://schemas.microsoft.com/office/excel/2006/main">
          <x14:cfRule type="expression" priority="9" id="{9F201DB5-95CF-47D5-AABB-F8A9C7DB9E9C}">
            <xm:f>AND(エラー訂正部!$G$8&gt;エラー訂正部!$G$9,COUNTIF($G$10,"*:*")=0)</xm:f>
            <x14:dxf>
              <fill>
                <patternFill>
                  <bgColor rgb="FFFFFF00"/>
                </patternFill>
              </fill>
            </x14:dxf>
          </x14:cfRule>
          <xm:sqref>G8:G9</xm:sqref>
        </x14:conditionalFormatting>
        <x14:conditionalFormatting xmlns:xm="http://schemas.microsoft.com/office/excel/2006/main">
          <x14:cfRule type="expression" priority="8" id="{E3893497-9F41-417A-9503-CC53717C024D}">
            <xm:f>AND(エラー訂正部!$H$8&gt;エラー訂正部!$H$9,COUNTIF($H$10,"*:*")=0)</xm:f>
            <x14:dxf>
              <fill>
                <patternFill>
                  <bgColor rgb="FFFFFF00"/>
                </patternFill>
              </fill>
            </x14:dxf>
          </x14:cfRule>
          <xm:sqref>H8:H9</xm:sqref>
        </x14:conditionalFormatting>
        <x14:conditionalFormatting xmlns:xm="http://schemas.microsoft.com/office/excel/2006/main">
          <x14:cfRule type="expression" priority="7" id="{592AE78A-C08A-4F1A-B0C9-8FDD7D0B2ECF}">
            <xm:f>AND(エラー訂正部!$I$8&gt;エラー訂正部!$I$9,COUNTIF($I$10,"*:*")=0)</xm:f>
            <x14:dxf>
              <fill>
                <patternFill>
                  <bgColor rgb="FFFFFF00"/>
                </patternFill>
              </fill>
            </x14:dxf>
          </x14:cfRule>
          <xm:sqref>I8:I9</xm:sqref>
        </x14:conditionalFormatting>
        <x14:conditionalFormatting xmlns:xm="http://schemas.microsoft.com/office/excel/2006/main">
          <x14:cfRule type="expression" priority="6" id="{88FD7387-7DA1-43B4-BAB3-567366CDC314}">
            <xm:f>AND(エラー訂正部!$D$10&gt;エラー訂正部!$D$11,COUNTIF($D$10,"*:*")=0)</xm:f>
            <x14:dxf>
              <fill>
                <patternFill>
                  <bgColor rgb="FFFFFF00"/>
                </patternFill>
              </fill>
            </x14:dxf>
          </x14:cfRule>
          <xm:sqref>D10:D11</xm:sqref>
        </x14:conditionalFormatting>
        <x14:conditionalFormatting xmlns:xm="http://schemas.microsoft.com/office/excel/2006/main">
          <x14:cfRule type="expression" priority="5" id="{ADB4C5B6-4414-4EEA-ACD2-6C59EC8D3DDC}">
            <xm:f>AND(エラー訂正部!$E$10&gt;エラー訂正部!$E$11,COUNTIF($E$10,"*:*")=0)</xm:f>
            <x14:dxf>
              <fill>
                <patternFill>
                  <bgColor rgb="FFFFFF00"/>
                </patternFill>
              </fill>
            </x14:dxf>
          </x14:cfRule>
          <xm:sqref>E10:E11</xm:sqref>
        </x14:conditionalFormatting>
        <x14:conditionalFormatting xmlns:xm="http://schemas.microsoft.com/office/excel/2006/main">
          <x14:cfRule type="expression" priority="4" id="{634A3B39-0E6C-4742-A1E7-859DC63C629A}">
            <xm:f>AND(エラー訂正部!$F$10&gt;エラー訂正部!$F$11,COUNTIF($F$10,"*:*")=0)</xm:f>
            <x14:dxf>
              <fill>
                <patternFill>
                  <bgColor rgb="FFFFFF00"/>
                </patternFill>
              </fill>
            </x14:dxf>
          </x14:cfRule>
          <xm:sqref>F10:F11</xm:sqref>
        </x14:conditionalFormatting>
        <x14:conditionalFormatting xmlns:xm="http://schemas.microsoft.com/office/excel/2006/main">
          <x14:cfRule type="expression" priority="3" id="{70AC8CCD-B4C1-4D36-8F39-33E92F2A909F}">
            <xm:f>AND(エラー訂正部!$G$10&gt;エラー訂正部!$G$11,COUNTIF($G$10,"*:*")=0)</xm:f>
            <x14:dxf>
              <fill>
                <patternFill>
                  <bgColor rgb="FFFFFF00"/>
                </patternFill>
              </fill>
            </x14:dxf>
          </x14:cfRule>
          <xm:sqref>G10:G11</xm:sqref>
        </x14:conditionalFormatting>
        <x14:conditionalFormatting xmlns:xm="http://schemas.microsoft.com/office/excel/2006/main">
          <x14:cfRule type="expression" priority="2" id="{330C2587-1C00-4FD7-868F-C4A30FE29FC0}">
            <xm:f>AND(エラー訂正部!$H$10&gt;エラー訂正部!$H$11,COUNTIF($H$10,"*:*")=0)</xm:f>
            <x14:dxf>
              <fill>
                <patternFill>
                  <bgColor rgb="FFFFFF00"/>
                </patternFill>
              </fill>
            </x14:dxf>
          </x14:cfRule>
          <xm:sqref>H10:H11</xm:sqref>
        </x14:conditionalFormatting>
        <x14:conditionalFormatting xmlns:xm="http://schemas.microsoft.com/office/excel/2006/main">
          <x14:cfRule type="expression" priority="1" id="{DC0BA821-FC89-4284-8462-6B3A33457595}">
            <xm:f>AND(エラー訂正部!$I$10&gt;エラー訂正部!$I$11,COUNTIF($I$10,"*:*")=0)</xm:f>
            <x14:dxf>
              <fill>
                <patternFill>
                  <bgColor rgb="FFFFFF00"/>
                </patternFill>
              </fill>
            </x14:dxf>
          </x14:cfRule>
          <xm:sqref>I10:I11</xm:sqref>
        </x14:conditionalFormatting>
      </x14:conditionalFormattings>
    </ext>
    <ext xmlns:x14="http://schemas.microsoft.com/office/spreadsheetml/2009/9/main" uri="{CCE6A557-97BC-4b89-ADB6-D9C93CAAB3DF}">
      <x14:dataValidations xmlns:xm="http://schemas.microsoft.com/office/excel/2006/main" disablePrompts="1" xWindow="272" yWindow="375" count="59">
        <x14:dataValidation type="list" allowBlank="1" promptTitle="注意" prompt="ロングの場合は_x000a_プルダウンから選択" xr:uid="{D4875FBE-C4C6-4D95-A0C3-332DC5BB4B72}">
          <x14:formula1>
            <xm:f>データ処理部!$L$5</xm:f>
          </x14:formula1>
          <xm:sqref>L5</xm:sqref>
        </x14:dataValidation>
        <x14:dataValidation type="list" allowBlank="1" promptTitle="注意" prompt="ロングの場合は_x000a_プルダウンから選択" xr:uid="{BBC431A7-920A-4F17-9852-0543CA8D7242}">
          <x14:formula1>
            <xm:f>データ処理部!$L$6</xm:f>
          </x14:formula1>
          <xm:sqref>L6</xm:sqref>
        </x14:dataValidation>
        <x14:dataValidation type="list" allowBlank="1" promptTitle="注意" prompt="ロングの場合は_x000a_プルダウンから選択" xr:uid="{6DD299E5-7F49-4E45-872B-1FBFE9CCA392}">
          <x14:formula1>
            <xm:f>データ処理部!$N$6</xm:f>
          </x14:formula1>
          <xm:sqref>N5:N6</xm:sqref>
        </x14:dataValidation>
        <x14:dataValidation type="list" allowBlank="1" showInputMessage="1" xr:uid="{8EE47946-695C-4C89-BCEA-4BB3DD9C722A}">
          <x14:formula1>
            <xm:f>データ処理部!$D$7</xm:f>
          </x14:formula1>
          <xm:sqref>D7</xm:sqref>
        </x14:dataValidation>
        <x14:dataValidation type="list" allowBlank="1" promptTitle="注意" prompt="ロングの場合は_x000a_プルダウンから選択" xr:uid="{45AE94D1-0804-4CBB-81C2-3A2B1CC1516A}">
          <x14:formula1>
            <xm:f>データ処理部!$D$10</xm:f>
          </x14:formula1>
          <xm:sqref>D10</xm:sqref>
        </x14:dataValidation>
        <x14:dataValidation type="list" allowBlank="1" promptTitle="注意" prompt="ロングの場合は_x000a_プルダウンから選択" xr:uid="{81A9131D-32CF-4F63-8765-B39F45E03334}">
          <x14:formula1>
            <xm:f>データ処理部!$D$11</xm:f>
          </x14:formula1>
          <xm:sqref>D11</xm:sqref>
        </x14:dataValidation>
        <x14:dataValidation type="list" allowBlank="1" showInputMessage="1" xr:uid="{606FEB1A-A129-4685-A0EB-B3B6FAA3F350}">
          <x14:formula1>
            <xm:f>データ処理部!$D$3</xm:f>
          </x14:formula1>
          <xm:sqref>D3</xm:sqref>
        </x14:dataValidation>
        <x14:dataValidation type="list" allowBlank="1" showInputMessage="1" xr:uid="{9FE8BE3B-5F76-4A66-B931-C5678FFFAD00}">
          <x14:formula1>
            <xm:f>データ処理部!$D$4</xm:f>
          </x14:formula1>
          <xm:sqref>D4</xm:sqref>
        </x14:dataValidation>
        <x14:dataValidation type="list" allowBlank="1" showInputMessage="1" xr:uid="{E4A03C82-2963-4EDB-8984-7F8FD182D129}">
          <x14:formula1>
            <xm:f>データ処理部!$D$5</xm:f>
          </x14:formula1>
          <xm:sqref>D5</xm:sqref>
        </x14:dataValidation>
        <x14:dataValidation type="list" allowBlank="1" showInputMessage="1" xr:uid="{40228DF9-05DF-4798-9BF7-AF728A44C24A}">
          <x14:formula1>
            <xm:f>データ処理部!$L$3</xm:f>
          </x14:formula1>
          <xm:sqref>L3</xm:sqref>
        </x14:dataValidation>
        <x14:dataValidation type="list" allowBlank="1" showInputMessage="1" xr:uid="{B9317896-6B33-4F9D-8C46-36DCD00FB4FB}">
          <x14:formula1>
            <xm:f>データ処理部!$L$4</xm:f>
          </x14:formula1>
          <xm:sqref>L4</xm:sqref>
        </x14:dataValidation>
        <x14:dataValidation type="list" allowBlank="1" showInputMessage="1" xr:uid="{F70AD1C7-C9BE-4D96-BF67-EA54B4E09577}">
          <x14:formula1>
            <xm:f>データ処理部!$D$8</xm:f>
          </x14:formula1>
          <xm:sqref>D8</xm:sqref>
        </x14:dataValidation>
        <x14:dataValidation type="list" allowBlank="1" showInputMessage="1" xr:uid="{99C7D49C-02F1-4D12-9185-729859214D47}">
          <x14:formula1>
            <xm:f>データ処理部!$D$9</xm:f>
          </x14:formula1>
          <xm:sqref>D9</xm:sqref>
        </x14:dataValidation>
        <x14:dataValidation type="list" allowBlank="1" showInputMessage="1" xr:uid="{01A991A3-1755-44D8-A4B9-8EC2201D343B}">
          <x14:formula1>
            <xm:f>データ処理部!$D$6</xm:f>
          </x14:formula1>
          <xm:sqref>D6</xm:sqref>
        </x14:dataValidation>
        <x14:dataValidation type="list" allowBlank="1" showInputMessage="1" xr:uid="{F94EAFDF-0C38-4714-93C9-AED986C7E5E0}">
          <x14:formula1>
            <xm:f>データ処理部!$E$3</xm:f>
          </x14:formula1>
          <xm:sqref>E3</xm:sqref>
        </x14:dataValidation>
        <x14:dataValidation type="list" allowBlank="1" showInputMessage="1" xr:uid="{7CDE8B5F-8061-47FF-AFAD-2D5F9F1532A3}">
          <x14:formula1>
            <xm:f>データ処理部!$F$3</xm:f>
          </x14:formula1>
          <xm:sqref>F3:G3</xm:sqref>
        </x14:dataValidation>
        <x14:dataValidation type="list" allowBlank="1" showInputMessage="1" xr:uid="{CB246E2C-9C9F-431D-A9D5-35DCF3FC013B}">
          <x14:formula1>
            <xm:f>データ処理部!$H$3</xm:f>
          </x14:formula1>
          <xm:sqref>H3</xm:sqref>
        </x14:dataValidation>
        <x14:dataValidation type="list" allowBlank="1" showInputMessage="1" xr:uid="{3C76F125-FA35-4D3C-B7C9-408186084B40}">
          <x14:formula1>
            <xm:f>データ処理部!$I$3</xm:f>
          </x14:formula1>
          <xm:sqref>I3</xm:sqref>
        </x14:dataValidation>
        <x14:dataValidation type="list" allowBlank="1" showInputMessage="1" xr:uid="{7775098A-40AE-4851-8A28-D4088812B2CF}">
          <x14:formula1>
            <xm:f>データ処理部!$J$3</xm:f>
          </x14:formula1>
          <xm:sqref>J3</xm:sqref>
        </x14:dataValidation>
        <x14:dataValidation type="list" allowBlank="1" showInputMessage="1" xr:uid="{3C829373-7129-4031-967C-3479F9F50109}">
          <x14:formula1>
            <xm:f>データ処理部!$E$4</xm:f>
          </x14:formula1>
          <xm:sqref>E4</xm:sqref>
        </x14:dataValidation>
        <x14:dataValidation type="list" allowBlank="1" showInputMessage="1" xr:uid="{9E4E4100-CB76-40B7-A673-E37E11AA7E7C}">
          <x14:formula1>
            <xm:f>データ処理部!$F$4</xm:f>
          </x14:formula1>
          <xm:sqref>F4:G4</xm:sqref>
        </x14:dataValidation>
        <x14:dataValidation type="list" allowBlank="1" showInputMessage="1" xr:uid="{DCC1BB77-99A6-4B23-9BE2-5E7083CE44C2}">
          <x14:formula1>
            <xm:f>データ処理部!$H$4</xm:f>
          </x14:formula1>
          <xm:sqref>H4</xm:sqref>
        </x14:dataValidation>
        <x14:dataValidation type="list" allowBlank="1" showInputMessage="1" xr:uid="{42AD7083-D964-4DB8-97FD-7CA7DADFB7EC}">
          <x14:formula1>
            <xm:f>データ処理部!$I$4</xm:f>
          </x14:formula1>
          <xm:sqref>I4</xm:sqref>
        </x14:dataValidation>
        <x14:dataValidation type="list" allowBlank="1" showInputMessage="1" xr:uid="{50874A20-1922-4A7C-80F0-CB4DC47C1560}">
          <x14:formula1>
            <xm:f>データ処理部!$J$4</xm:f>
          </x14:formula1>
          <xm:sqref>J4</xm:sqref>
        </x14:dataValidation>
        <x14:dataValidation type="list" allowBlank="1" showInputMessage="1" xr:uid="{0BB3D367-464A-4DD2-9B5D-ED96A1A070EE}">
          <x14:formula1>
            <xm:f>データ処理部!$E$5</xm:f>
          </x14:formula1>
          <xm:sqref>E5</xm:sqref>
        </x14:dataValidation>
        <x14:dataValidation type="list" allowBlank="1" showInputMessage="1" xr:uid="{63FF7307-8C76-4076-9AB5-4261C54D306C}">
          <x14:formula1>
            <xm:f>データ処理部!$F$5</xm:f>
          </x14:formula1>
          <xm:sqref>F5</xm:sqref>
        </x14:dataValidation>
        <x14:dataValidation type="list" allowBlank="1" showInputMessage="1" xr:uid="{81C7A3FC-4A2B-49CA-851D-32C9D795426C}">
          <x14:formula1>
            <xm:f>データ処理部!$G$5</xm:f>
          </x14:formula1>
          <xm:sqref>G5</xm:sqref>
        </x14:dataValidation>
        <x14:dataValidation type="list" allowBlank="1" showInputMessage="1" xr:uid="{D5AC7442-6C96-46F6-BB20-93285E137030}">
          <x14:formula1>
            <xm:f>データ処理部!$H$5</xm:f>
          </x14:formula1>
          <xm:sqref>H5</xm:sqref>
        </x14:dataValidation>
        <x14:dataValidation type="list" allowBlank="1" showInputMessage="1" xr:uid="{D4D2BD7C-BB0E-49DE-B90A-40318415E420}">
          <x14:formula1>
            <xm:f>データ処理部!$I$5</xm:f>
          </x14:formula1>
          <xm:sqref>I5</xm:sqref>
        </x14:dataValidation>
        <x14:dataValidation type="list" allowBlank="1" showInputMessage="1" xr:uid="{9BB26BF9-C3E6-44C0-B447-8743E39A50BB}">
          <x14:formula1>
            <xm:f>データ処理部!$J$5</xm:f>
          </x14:formula1>
          <xm:sqref>J5</xm:sqref>
        </x14:dataValidation>
        <x14:dataValidation type="list" allowBlank="1" showInputMessage="1" xr:uid="{29039488-E970-4B6A-9902-EC3802D7AD99}">
          <x14:formula1>
            <xm:f>データ処理部!$E$6</xm:f>
          </x14:formula1>
          <xm:sqref>E6</xm:sqref>
        </x14:dataValidation>
        <x14:dataValidation type="list" allowBlank="1" showInputMessage="1" xr:uid="{DAC46DE3-5C9F-49F8-970C-6B0B1686C5CD}">
          <x14:formula1>
            <xm:f>データ処理部!$F$6</xm:f>
          </x14:formula1>
          <xm:sqref>F6</xm:sqref>
        </x14:dataValidation>
        <x14:dataValidation type="list" allowBlank="1" showInputMessage="1" xr:uid="{4873F4C4-1A60-4C82-8CCE-0A0CAF6A601E}">
          <x14:formula1>
            <xm:f>データ処理部!$G$6</xm:f>
          </x14:formula1>
          <xm:sqref>G6</xm:sqref>
        </x14:dataValidation>
        <x14:dataValidation type="list" allowBlank="1" showInputMessage="1" xr:uid="{41498A9D-852A-41E0-9969-18014B419254}">
          <x14:formula1>
            <xm:f>データ処理部!$H$6</xm:f>
          </x14:formula1>
          <xm:sqref>H6</xm:sqref>
        </x14:dataValidation>
        <x14:dataValidation type="list" allowBlank="1" showInputMessage="1" xr:uid="{80DA8E65-5F01-4101-B575-4509917A97A9}">
          <x14:formula1>
            <xm:f>データ処理部!$I$6</xm:f>
          </x14:formula1>
          <xm:sqref>I6</xm:sqref>
        </x14:dataValidation>
        <x14:dataValidation type="list" allowBlank="1" showInputMessage="1" xr:uid="{13A34226-0450-4B2A-9511-5776FFF30458}">
          <x14:formula1>
            <xm:f>データ処理部!$J$6</xm:f>
          </x14:formula1>
          <xm:sqref>J6</xm:sqref>
        </x14:dataValidation>
        <x14:dataValidation type="list" allowBlank="1" showInputMessage="1" xr:uid="{3701BECF-7CB4-4DA5-A04F-254D9E19EB37}">
          <x14:formula1>
            <xm:f>データ処理部!$E$7</xm:f>
          </x14:formula1>
          <xm:sqref>E7</xm:sqref>
        </x14:dataValidation>
        <x14:dataValidation type="list" allowBlank="1" showInputMessage="1" xr:uid="{4ED36C68-4A45-4FA8-9348-4FB75DA1316C}">
          <x14:formula1>
            <xm:f>データ処理部!$F$7</xm:f>
          </x14:formula1>
          <xm:sqref>F7</xm:sqref>
        </x14:dataValidation>
        <x14:dataValidation type="list" allowBlank="1" showInputMessage="1" xr:uid="{CAD01048-3C10-4ABB-9B0E-BBAB2AD3AF77}">
          <x14:formula1>
            <xm:f>データ処理部!$G$7</xm:f>
          </x14:formula1>
          <xm:sqref>G7</xm:sqref>
        </x14:dataValidation>
        <x14:dataValidation type="list" allowBlank="1" showInputMessage="1" xr:uid="{6E3EE208-21DB-4548-AE5F-997B24DFFFB6}">
          <x14:formula1>
            <xm:f>データ処理部!$H$7</xm:f>
          </x14:formula1>
          <xm:sqref>H7</xm:sqref>
        </x14:dataValidation>
        <x14:dataValidation type="list" allowBlank="1" showInputMessage="1" xr:uid="{18692BAD-1A39-4F23-A415-FF70EA5BE998}">
          <x14:formula1>
            <xm:f>データ処理部!$E$8</xm:f>
          </x14:formula1>
          <xm:sqref>E8</xm:sqref>
        </x14:dataValidation>
        <x14:dataValidation type="list" allowBlank="1" showInputMessage="1" xr:uid="{D406261B-8B92-4BB1-B619-46DD0A5C6334}">
          <x14:formula1>
            <xm:f>データ処理部!$F$8</xm:f>
          </x14:formula1>
          <xm:sqref>F8</xm:sqref>
        </x14:dataValidation>
        <x14:dataValidation type="list" allowBlank="1" showInputMessage="1" xr:uid="{B7DA7F34-894E-409C-B44D-51DBBBC9DCED}">
          <x14:formula1>
            <xm:f>データ処理部!$G$8</xm:f>
          </x14:formula1>
          <xm:sqref>G8</xm:sqref>
        </x14:dataValidation>
        <x14:dataValidation type="list" allowBlank="1" showInputMessage="1" xr:uid="{9872D9CF-2D71-44BD-989A-5D2EBCE739D7}">
          <x14:formula1>
            <xm:f>データ処理部!$I$8</xm:f>
          </x14:formula1>
          <xm:sqref>I8</xm:sqref>
        </x14:dataValidation>
        <x14:dataValidation type="list" allowBlank="1" showInputMessage="1" xr:uid="{91F5064C-800F-4E0C-A3E1-5A9F1BB3FD0C}">
          <x14:formula1>
            <xm:f>データ処理部!$E$9</xm:f>
          </x14:formula1>
          <xm:sqref>E9</xm:sqref>
        </x14:dataValidation>
        <x14:dataValidation type="list" allowBlank="1" showInputMessage="1" xr:uid="{87B61F67-8C4E-4A60-992C-AA642B58EA91}">
          <x14:formula1>
            <xm:f>データ処理部!$F$9</xm:f>
          </x14:formula1>
          <xm:sqref>F9</xm:sqref>
        </x14:dataValidation>
        <x14:dataValidation type="list" allowBlank="1" showInputMessage="1" xr:uid="{A25EB12D-D84F-413B-9712-EECC442D0E2A}">
          <x14:formula1>
            <xm:f>データ処理部!$G$9</xm:f>
          </x14:formula1>
          <xm:sqref>G9</xm:sqref>
        </x14:dataValidation>
        <x14:dataValidation type="list" allowBlank="1" showInputMessage="1" xr:uid="{653633D8-DFBE-48D1-A9F8-E35AC4039973}">
          <x14:formula1>
            <xm:f>データ処理部!$H$9</xm:f>
          </x14:formula1>
          <xm:sqref>H9</xm:sqref>
        </x14:dataValidation>
        <x14:dataValidation type="list" allowBlank="1" showInputMessage="1" xr:uid="{036F4115-8E57-4E0B-AF25-785257EA172D}">
          <x14:formula1>
            <xm:f>データ処理部!$I$9</xm:f>
          </x14:formula1>
          <xm:sqref>I9</xm:sqref>
        </x14:dataValidation>
        <x14:dataValidation type="list" allowBlank="1" promptTitle="注意" prompt="ロングの場合は_x000a_プルダウンから選択" xr:uid="{89D6609A-D804-44A5-930B-59F6CBC65A5A}">
          <x14:formula1>
            <xm:f>データ処理部!$E$10</xm:f>
          </x14:formula1>
          <xm:sqref>E10</xm:sqref>
        </x14:dataValidation>
        <x14:dataValidation type="list" allowBlank="1" promptTitle="注意" prompt="ロングの場合は_x000a_プルダウンから選択" xr:uid="{F6A8CDF2-09C8-4E88-982E-8A66ECE6DE25}">
          <x14:formula1>
            <xm:f>データ処理部!$F$10</xm:f>
          </x14:formula1>
          <xm:sqref>F10</xm:sqref>
        </x14:dataValidation>
        <x14:dataValidation type="list" allowBlank="1" promptTitle="注意" prompt="ロングの場合は_x000a_プルダウンから選択" xr:uid="{3B777547-BED7-4DC2-9C9A-FBC73603F70E}">
          <x14:formula1>
            <xm:f>データ処理部!$G$10</xm:f>
          </x14:formula1>
          <xm:sqref>G10</xm:sqref>
        </x14:dataValidation>
        <x14:dataValidation type="list" allowBlank="1" showInputMessage="1" xr:uid="{EE9420E1-B928-444A-AECE-6071176E05BD}">
          <x14:formula1>
            <xm:f>データ処理部!$H$10</xm:f>
          </x14:formula1>
          <xm:sqref>H10</xm:sqref>
        </x14:dataValidation>
        <x14:dataValidation type="list" allowBlank="1" showInputMessage="1" xr:uid="{FFF14641-C118-4B04-9FE6-EAABF8A86B29}">
          <x14:formula1>
            <xm:f>データ処理部!$I$10</xm:f>
          </x14:formula1>
          <xm:sqref>I10</xm:sqref>
        </x14:dataValidation>
        <x14:dataValidation type="list" allowBlank="1" showInputMessage="1" xr:uid="{70DC6B75-EA03-4D5B-B72B-82D8E3D4CF32}">
          <x14:formula1>
            <xm:f>データ処理部!$F$11</xm:f>
          </x14:formula1>
          <xm:sqref>F11</xm:sqref>
        </x14:dataValidation>
        <x14:dataValidation type="list" allowBlank="1" showInputMessage="1" xr:uid="{A3AED803-E44F-49DE-B423-98B50A333E07}">
          <x14:formula1>
            <xm:f>データ処理部!$G$11</xm:f>
          </x14:formula1>
          <xm:sqref>G11</xm:sqref>
        </x14:dataValidation>
        <x14:dataValidation type="list" allowBlank="1" showInputMessage="1" xr:uid="{4EDFC8C7-0ADE-4F45-802E-A44A4FD87810}">
          <x14:formula1>
            <xm:f>データ処理部!$H$11</xm:f>
          </x14:formula1>
          <xm:sqref>H11</xm:sqref>
        </x14:dataValidation>
        <x14:dataValidation type="list" allowBlank="1" showInputMessage="1" xr:uid="{CD391D40-F491-4D5D-89D9-00FB69F71728}">
          <x14:formula1>
            <xm:f>データ処理部!$I$11</xm:f>
          </x14:formula1>
          <xm:sqref>I11</xm:sqref>
        </x14:dataValidation>
        <x14:dataValidation type="list" allowBlank="1" showInputMessage="1" xr:uid="{4478B0C6-BE6E-442F-A144-128BB27B48EB}">
          <x14:formula1>
            <xm:f>データ処理部!$EH8</xm:f>
          </x14:formula1>
          <xm:sqref>H8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12DC32-8BF6-429C-9B13-7AC01E6DEE53}">
  <sheetPr codeName="Sheet2"/>
  <dimension ref="A1:Z329"/>
  <sheetViews>
    <sheetView zoomScale="90" zoomScaleNormal="90" workbookViewId="0">
      <selection activeCell="G196" sqref="G196"/>
    </sheetView>
  </sheetViews>
  <sheetFormatPr defaultColWidth="9" defaultRowHeight="18.75"/>
  <cols>
    <col min="1" max="1" width="18.5" style="16" customWidth="1"/>
    <col min="2" max="2" width="32.875" style="16" bestFit="1" customWidth="1"/>
    <col min="3" max="3" width="4.375" style="16" customWidth="1"/>
    <col min="4" max="4" width="5.5" style="16" customWidth="1"/>
    <col min="5" max="5" width="5.375" style="16" customWidth="1"/>
    <col min="6" max="6" width="16.25" style="16" bestFit="1" customWidth="1"/>
    <col min="7" max="7" width="11.875" style="16" bestFit="1" customWidth="1"/>
    <col min="8" max="8" width="9" style="16"/>
    <col min="9" max="9" width="21.375" style="16" bestFit="1" customWidth="1"/>
    <col min="10" max="10" width="17.25" style="16" bestFit="1" customWidth="1"/>
    <col min="11" max="12" width="9" style="16"/>
    <col min="13" max="13" width="9" style="16" customWidth="1"/>
    <col min="14" max="16384" width="9" style="16"/>
  </cols>
  <sheetData>
    <row r="1" spans="1:26">
      <c r="A1" s="16" t="s">
        <v>225</v>
      </c>
      <c r="Z1" s="16" t="str">
        <f t="shared" ref="Z1:Z64" si="0">IF(A1="★年休","←ここまで","")</f>
        <v/>
      </c>
    </row>
    <row r="2" spans="1:26">
      <c r="A2" s="17" t="s">
        <v>104</v>
      </c>
      <c r="Z2" s="16" t="str">
        <f t="shared" si="0"/>
        <v/>
      </c>
    </row>
    <row r="3" spans="1:26">
      <c r="A3" s="118">
        <f>Sheet1!D1</f>
        <v>44263</v>
      </c>
      <c r="B3" s="16" t="s">
        <v>6</v>
      </c>
      <c r="Z3" s="16" t="str">
        <f t="shared" si="0"/>
        <v/>
      </c>
    </row>
    <row r="4" spans="1:26">
      <c r="A4" s="66" t="s">
        <v>19</v>
      </c>
      <c r="B4" s="19" t="s">
        <v>100</v>
      </c>
      <c r="Z4" s="16" t="str">
        <f t="shared" si="0"/>
        <v/>
      </c>
    </row>
    <row r="5" spans="1:26">
      <c r="A5" s="18" t="s">
        <v>112</v>
      </c>
      <c r="B5" s="19" t="str">
        <f>IF(Sheet1!D2&lt;&gt;"",Sheet1!D2,"")</f>
        <v>塚原 月</v>
      </c>
      <c r="C5" s="19" t="str" cm="1">
        <f t="array" aca="1" ref="C5" ca="1">IF(INDIRECT("R"&amp;ROW()&amp;"C"&amp;COLUMN()-1,FALSE)="","",((IF(OR(INDIRECT("R"&amp;ROW()&amp;"C"&amp;COLUMN()+1,FALSE)&lt;&gt;"",INDIRECT("R"&amp;ROW()&amp;"C"&amp;COLUMN()+2,FALSE)&lt;&gt;""),"　",""))))</f>
        <v/>
      </c>
      <c r="Z5" s="16" t="str">
        <f t="shared" si="0"/>
        <v/>
      </c>
    </row>
    <row r="6" spans="1:26">
      <c r="A6" s="18" t="str" cm="1">
        <f t="array" aca="1" ref="A6" ca="1">IF(OR(INDIRECT("R"&amp;ROW()&amp;"C"&amp;COLUMN()+1,FALSE)&lt;&gt;"",INDIRECT("R"&amp;ROW()&amp;"C"&amp;COLUMN()+3,FALSE)&lt;&gt;"",,INDIRECT("R"&amp;ROW()&amp;"C"&amp;COLUMN()+4,FALSE)&lt;&gt;""),"操車研修","")</f>
        <v/>
      </c>
      <c r="B6" s="19" t="str" cm="1">
        <f t="array" ref="B6">IFERROR( IF( INDEX( Sheet1!$A$15:D22, IFERROR( MATCH( "*操車*", Sheet1!$A$15:$A$22, 0 ), "" ), ((ROW()-6)/30)+4 ) = "", "", IFERROR( INDEX( Sheet1!$A$15:D22, IFERROR( MATCH( "*操車*", Sheet1!$A$15:$A$22, 0 ), "" ), ((ROW()-6)/30)+4 ) &amp; "(14時～20時)", "" ) ), "" )</f>
        <v/>
      </c>
      <c r="C6" s="19" t="str" cm="1">
        <f t="array" aca="1" ref="C6" ca="1">IF(INDIRECT("R"&amp;ROW()&amp;"C"&amp;COLUMN()-1,FALSE)="","",((IF(OR(INDIRECT("R"&amp;ROW()&amp;"C"&amp;COLUMN()+1,FALSE)&lt;&gt;"",INDIRECT("R"&amp;ROW()&amp;"C"&amp;COLUMN()+2,FALSE)&lt;&gt;""),"　",""))))</f>
        <v/>
      </c>
      <c r="D6" s="16" t="str" cm="1">
        <f t="array" aca="1" ref="D6" ca="1">IFERROR(
  IF(
    INDEX(
    INDIRECT( "Sheet1!A" &amp; MATCH( "*操車*", Sheet1!$A$15:$A$22, 0 ) + 15 )
    :Sheet1!D22,
    IFERROR(
      MATCH(
        "*操車*",
        INDIRECT( "Sheet1!A" &amp; MATCH( "*操車*", Sheet1!$A$15:$A$22, 0 ) + 15 )
        :Sheet1!$A$22,
        0
      ),
      ""
    ),
    ( (        ROW(
        ) - 6 ) / 30 ) + 4
    ) = "",
    "",
    IFERROR(
    INDEX(
      INDIRECT( "Sheet1!A" &amp; MATCH( "*操車*", Sheet1!$A$15:$A$22, 0 ) + 15 )
      :Sheet1!D22,
      IFERROR(
        MATCH(
        "*操車*",
        INDIRECT( "Sheet1!A" &amp; MATCH( "*操車*", Sheet1!$A$15:$A$22, 0 ) + 15 )
        :Sheet1!$A$22,
        0
        ),
        ""
      ),
      ( (        ROW(
        ) - 6 ) / 30 ) + 4
    ) &amp; "(14時～20時)",
    ""
    )
  ),
  ""
)</f>
        <v/>
      </c>
      <c r="J6" s="16" t="str">
        <f ca="1">IF(A6="","※操車研修","")</f>
        <v>※操車研修</v>
      </c>
      <c r="Z6" s="16" t="str">
        <f t="shared" ca="1" si="0"/>
        <v/>
      </c>
    </row>
    <row r="7" spans="1:26" ht="20.25" customHeight="1">
      <c r="A7" s="18" t="s">
        <v>116</v>
      </c>
      <c r="B7" s="19" t="str">
        <f>IF( COUNTIF( Sheet1!D3:D6, "*:*" )=0, Sheet1!D3&amp;"　"&amp;Sheet1!D4, IF( COUNTIF( Sheet1!D3:D6, "*:*" )=1, Sheet1!D3&amp;" "&amp;Sheet1!D4&amp;"(～21時)", IF( COUNTIF( Sheet1!D3:D6, "*:*" )=2, SUBSTITUTE(SUBSTITUTE(Sheet1!D3&amp;CHAR(10)&amp;"(～21:00)",CHAR(10),""),"(～21:00)","")&amp;"(～21時) "&amp;"　"&amp;SUBSTITUTE(SUBSTITUTE(Sheet1!D4&amp;CHAR(10)&amp;"(～21:00)",CHAR(10),""),"(～21:00)","")&amp;"(～21時)" ) ) )</f>
        <v>土田 月　菅井 月</v>
      </c>
      <c r="C7" s="19" t="str" cm="1">
        <f t="array" aca="1" ref="C7" ca="1">IF(INDIRECT("R"&amp;ROW()&amp;"C"&amp;COLUMN()-1,FALSE)="","",((IF(OR(INDIRECT("R"&amp;ROW()&amp;"C"&amp;COLUMN()+1,FALSE)&lt;&gt;"",INDIRECT("R"&amp;ROW()&amp;"C"&amp;COLUMN()+2,FALSE)&lt;&gt;""),"　",""))))</f>
        <v/>
      </c>
      <c r="F7" s="117"/>
      <c r="Z7" s="16" t="str">
        <f t="shared" si="0"/>
        <v/>
      </c>
    </row>
    <row r="8" spans="1:26">
      <c r="A8" s="18" t="s">
        <v>114</v>
      </c>
      <c r="B8" s="19" t="str">
        <f>IF(COUNTIF(Sheet1!D3:D6,"*:*")=0, Sheet1!D5&amp;"　"&amp;Sheet1!D6, IF(COUNTIF(Sheet1!D3:D6,"*:*")=1, Sheet1!D6, IF(COUNTIF(Sheet1!D3:D6,"*:*")=2, "-")))</f>
        <v>三谷 月　黒木 月</v>
      </c>
      <c r="C8" s="19" t="str" cm="1">
        <f t="array" aca="1" ref="C8" ca="1">IF(INDIRECT("R"&amp;ROW()&amp;"C"&amp;COLUMN()-1,FALSE)="","",((IF(OR(INDIRECT("R"&amp;ROW()&amp;"C"&amp;COLUMN()+1,FALSE)&lt;&gt;"",INDIRECT("R"&amp;ROW()&amp;"C"&amp;COLUMN()+2,FALSE)&lt;&gt;""),"　",""))))</f>
        <v/>
      </c>
      <c r="Z8" s="16" t="str">
        <f t="shared" si="0"/>
        <v/>
      </c>
    </row>
    <row r="9" spans="1:26">
      <c r="A9" s="18" t="str">
        <f>IF(B9&lt;&gt;"","折早研修　","")</f>
        <v/>
      </c>
      <c r="B9" s="16" t="str" cm="1">
        <f t="array" ref="B9">IF(AND(COUNTIF(Sheet1!$A$15:$A$22,"*折防早番*")&gt;0,COUNTIF(Sheet1!$A$15:$A$22,"*折早*")&gt;0)=TRUE,"エラー！
Sheet1の見習欄の駅名を統一してください",
IFERROR(IF(INDEX(Sheet1!$A$15:D22,IFERROR(IFERROR(MATCH("*折防早番*",Sheet1!$A$15:$A$22,0),MATCH("*折早*",Sheet1!$A$15:$A$22,0)),""),((ROW()-9)/30)+4)="","",IFERROR(INDEX(Sheet1!$A$15:D22,IFERROR(IFERROR(MATCH("*折防早番*",Sheet1!$A$15:$A$22,0),MATCH("*折早*",Sheet1!$A$15:$A$22,0)),""),((ROW()-9)/30)+4)&amp;"(15時50分～19時)","")),"")
)</f>
        <v/>
      </c>
      <c r="C9" s="19" t="str" cm="1">
        <f t="array" aca="1" ref="C9" ca="1">IF(INDIRECT("R"&amp;ROW()&amp;"C"&amp;COLUMN()-1,FALSE)="","",((IF(OR(INDIRECT("R"&amp;ROW()&amp;"C"&amp;COLUMN()+1,FALSE)&lt;&gt;"",INDIRECT("R"&amp;ROW()&amp;"C"&amp;COLUMN()+2,FALSE)&lt;&gt;""),"　",""))))</f>
        <v/>
      </c>
      <c r="D9" s="16" t="str" cm="1">
        <f t="array" aca="1" ref="D9" ca="1">IF(AND(COUNTIF(Sheet1!$A$15:$A$22,"*折防早番*")&gt;0,COUNTIF(Sheet1!$A$15:$A$22,"*折早*")&gt;0)=TRUE,"エラー！
Sheet1の見習欄の駅名を統一してください",
IFERROR(
  IF(
    INDEX(
    INDIRECT( "Sheet1!A" &amp; MATCH( "*折防早番*", Sheet1!$A$15:$A$22, 0 ) + 15 )
    :Sheet1!D22,
    IFERROR(
      MATCH(
        "*折防早番*",
        INDIRECT( "Sheet1!A" &amp; MATCH( "*折防早番*", Sheet1!$A$15:$A$22, 0 ) + 15 )
        :Sheet1!$A$22,
        0
      ),
      ""
    ),
    ( (        ROW(
        ) - 9 ) / 30 ) + 4
    ) = "",
    "",
    IFERROR(
    INDEX(
      INDIRECT( "Sheet1!A" &amp; MATCH( "*折防早番*", Sheet1!$A$15:$A$22, 0 ) + 15 )
      :Sheet1!D22,
      IFERROR(
        MATCH(
        "*折防早番*",
        INDIRECT( "Sheet1!A" &amp; MATCH( "*折防早番*", Sheet1!$A$15:$A$22, 0 ) + 15 )
        :Sheet1!$A$22,
        0
        ),
        ""
      ),
      ( (        ROW(
        ) - 9 ) / 30 ) + 4
    ) &amp; "(15時50分～19時)",
    ""
    )
  ),
  ""
)
)</f>
        <v/>
      </c>
      <c r="E9" s="16" t="str" cm="1">
        <f t="array" aca="1" ref="E9" ca="1">IF(AND(COUNTIF(Sheet1!$A$15:$A$22,"*折防早番*")&gt;0,COUNTIF(Sheet1!$A$15:$A$22,"*折早*")&gt;0)=TRUE,"エラー！
Sheet1の見習欄の駅名を統一してください",
IFERROR(
  IF(
    INDEX(
    INDIRECT( "Sheet1!A" &amp; MATCH( "*折早*", Sheet1!$A$15:$A$22, 0 ) + 15 )
    :Sheet1!E22,
    IFERROR(
      MATCH(
        "*折早*",
        INDIRECT( "Sheet1!A" &amp; MATCH( "*折早*", Sheet1!$A$15:$A$22, 0 ) + 15 )
        :Sheet1!$A$22,
        0
      ),
      ""
    ),
    ( (        ROW(
        ) - 9 ) / 30 ) + 4
    ) = "",
    "",
    IFERROR(
    INDEX(
      INDIRECT( "Sheet1!A" &amp; MATCH( "*折早*", Sheet1!$A$15:$A$22, 0 ) + 15 )
      :Sheet1!E22,
      IFERROR(
        MATCH(
        "*折早*",
        INDIRECT( "Sheet1!A" &amp; MATCH( "*折早*", Sheet1!$A$15:$A$22, 0 ) + 15 )
        :Sheet1!$A$22,
        0
        ),
        ""
      ),
      ( (        ROW(
        ) - 9 ) / 30 ) + 4
    ) &amp; "(15時50分～19時)",
    ""
    )
  ),
  ""
)
)</f>
        <v/>
      </c>
      <c r="J9" s="16" t="str">
        <f>IF(A9="","※折早研修","")</f>
        <v>※折早研修</v>
      </c>
      <c r="Z9" s="16" t="str">
        <f t="shared" si="0"/>
        <v/>
      </c>
    </row>
    <row r="10" spans="1:26">
      <c r="A10" s="18" t="str">
        <f>IF(B10&lt;&gt;"","折遅研修　","")</f>
        <v/>
      </c>
      <c r="B10" s="16" t="str" cm="1">
        <f t="array" ref="B10">IF(AND(COUNTIF(Sheet1!$A$15:$A$22,"*折防遅番*")&gt;0,COUNTIF(Sheet1!$A$15:$A$22,"*折遅*")&gt;0)=TRUE,"エラー！Sheet1の見習欄の駅名を統一してください",
IFERROR(IF(INDEX(Sheet1!$A$15:D22,IFERROR(IFERROR(MATCH("*折防遅番*",Sheet1!$A$15:$A$22,0),MATCH("*折遅*",Sheet1!$A$15:$A$22,0)),""),((ROW()-10)/30)+4)="","",IFERROR(INDEX(Sheet1!$A$15:D22,IFERROR(IFERROR(MATCH("*折防遅番*",Sheet1!$A$15:$A$22,0),MATCH("*折遅*",Sheet1!$A$15:$A$22,0)),""),((ROW()-10)/30)+4)&amp;"(17時～21時)","")),"")
)</f>
        <v/>
      </c>
      <c r="C10" s="19" t="str" cm="1">
        <f t="array" aca="1" ref="C10" ca="1">IF(INDIRECT("R"&amp;ROW()&amp;"C"&amp;COLUMN()-1,FALSE)="","",((IF(OR(INDIRECT("R"&amp;ROW()&amp;"C"&amp;COLUMN()+1,FALSE)&lt;&gt;"",INDIRECT("R"&amp;ROW()&amp;"C"&amp;COLUMN()+2,FALSE)&lt;&gt;""),"　",""))))</f>
        <v/>
      </c>
      <c r="D10" s="16" t="str" cm="1">
        <f t="array" aca="1" ref="D10" ca="1">IF(AND(COUNTIF(Sheet1!$A$15:$A$22,"*折防遅番*")&gt;0,COUNTIF(Sheet1!$A$15:$A$22,"*折遅*")&gt;0)=TRUE,"エラー！
Sheet1の見習欄の駅名を統一してください",
IFERROR(
  IF(
    INDEX(
    INDIRECT( "Sheet1!A" &amp; MATCH( "*折防遅番*", Sheet1!$A$15:$A$22, 0 ) + 15 )
    :Sheet1!D22,
    IFERROR(
      MATCH(
        "*折防遅番*",
        INDIRECT( "Sheet1!A" &amp; MATCH( "*折防遅番*", Sheet1!$A$15:$A$22, 0 ) + 15 )
        :Sheet1!$A$22,
        0
      ),
      ""
    ),
    ( (        ROW(
        ) - 10 ) / 30 ) + 4
    ) = "",
    "",
    IFERROR(
    INDEX(
      INDIRECT( "Sheet1!A" &amp; MATCH( "*折防遅番*", Sheet1!$A$15:$A$22, 0 ) + 15 )
      :Sheet1!D22,
      IFERROR(
        MATCH(
        "*折防遅番*",
        INDIRECT( "Sheet1!A" &amp; MATCH( "*折防遅番*", Sheet1!$A$15:$A$22, 0 ) + 15 )
        :Sheet1!$A$22,
        0
        ),
        ""
      ),
      ( (        ROW(
        ) - 10 ) / 30 ) + 4
    ) &amp; "(17時～21時)",
    ""
    )
  ),
  ""
)
)</f>
        <v/>
      </c>
      <c r="E10" s="16" t="str" cm="1">
        <f t="array" aca="1" ref="E10" ca="1">IF(AND(COUNTIF(Sheet1!$A$15:$A$22,"*折防遅番*")&gt;0,COUNTIF(Sheet1!$A$15:$A$22,"*折遅*")&gt;0)=TRUE,"",
IFERROR(
  IF(
    INDEX(
    INDIRECT( "Sheet1!A" &amp; MATCH( "*折遅*", Sheet1!$A$15:$A$22, 0 ) + 15 )
    :Sheet1!D22,
    IFERROR(
      MATCH(
        "*折遅*",
        INDIRECT( "Sheet1!A" &amp; MATCH( "*折遅*", Sheet1!$A$15:$A$22, 0 ) + 15 )
        :Sheet1!$A$22,
        0
      ),
      ""
    ),
    ( (        ROW(
        ) - 10 ) / 30 ) + 4
    ) = "",
    "",
    IFERROR(
    INDEX(
      INDIRECT( "Sheet1!A" &amp; MATCH( "*折遅*", Sheet1!$A$15:$A$22, 0 ) + 15 )
      :Sheet1!D22,
      IFERROR(
        MATCH(
        "*折遅*",
        INDIRECT( "Sheet1!A" &amp; MATCH( "*折遅*", Sheet1!$A$15:$A$22, 0 ) + 15 )
        :Sheet1!$A$22,
        0
        ),
        ""
      ),
      ( (        ROW(
        ) - 10 ) / 30 ) + 4
    ) &amp; "(17～21時)",
    ""
    )
  ),
  ""
)
)</f>
        <v/>
      </c>
      <c r="F10" s="67"/>
      <c r="J10" s="16" t="str">
        <f>IF(A10="","※折遅研修","")</f>
        <v>※折遅研修</v>
      </c>
      <c r="Z10" s="16" t="str">
        <f t="shared" si="0"/>
        <v/>
      </c>
    </row>
    <row r="11" spans="1:26">
      <c r="A11" s="18" t="str">
        <f>IF(B11&lt;&gt;"","折防ロング研修　","")</f>
        <v/>
      </c>
      <c r="B11" s="16" t="str" cm="1">
        <f t="array" ref="B11">IF(AND(COUNTIF(Sheet1!$A$15:$A$22,"*折防ロング*")&gt;0,COUNTIF(Sheet1!$A$15:$A$22,"*折ロング*")&gt;0)=TRUE,"エラー！
Sheet1の見習欄の駅名を統一してください",
IFERROR(IF(INDEX(Sheet1!$A$15:D22,IFERROR(IFERROR(MATCH("*折防ロング*",Sheet1!$A$15:$A$22,0),MATCH("*折ロング*",Sheet1!$A$15:$A$22,0)),""),((ROW()-11)/30)+4)="","",IFERROR(INDEX(Sheet1!$A$15:D22,IFERROR(IFERROR(MATCH("*折防ロング*",Sheet1!$A$15:$A$22,0),MATCH("*折ロング*",Sheet1!$A$15:$A$22,0)),""),((ROW()-11)/30)+4)&amp;"(15時50分～21時)","")),"")
)</f>
        <v/>
      </c>
      <c r="C11" s="19" t="str" cm="1">
        <f t="array" aca="1" ref="C11" ca="1">IF(INDIRECT("R"&amp;ROW()&amp;"C"&amp;COLUMN()-1,FALSE)="","",((IF(OR(INDIRECT("R"&amp;ROW()&amp;"C"&amp;COLUMN()+1,FALSE)&lt;&gt;"",INDIRECT("R"&amp;ROW()&amp;"C"&amp;COLUMN()+2,FALSE)&lt;&gt;""),"　",""))))</f>
        <v/>
      </c>
      <c r="D11" s="16" t="str" cm="1">
        <f t="array" aca="1" ref="D11" ca="1">IFERROR(
  IF(
    INDEX(
    INDIRECT( "Sheet1!A" &amp; MATCH( "*折防ロング*", Sheet1!$A$15:$A$22, 0 ) + 15 )
    :Sheet1!D22,
    IFERROR(
      MATCH(
        "*折防ロング*",
        INDIRECT( "Sheet1!A" &amp; MATCH( "*折防ロング*", Sheet1!$A$15:$A$22, 0 ) + 15 )
        :Sheet1!$A$22,
        0
      ),
      ""
    ),
    ( (        ROW(
        ) - 11 ) / 30 ) + 4
    ) = "",
    "",
    IFERROR(
    INDEX(
      INDIRECT( "Sheet1!A" &amp; MATCH( "*折防ロング*", Sheet1!$A$15:$A$22, 0 ) + 15 )
      :Sheet1!D22,
      IFERROR(
        MATCH(
        "*折防ロング*",
        INDIRECT( "Sheet1!A" &amp; MATCH( "*折防ロング*", Sheet1!$A$15:$A$22, 0 ) + 15 )
        :Sheet1!$A$22,
        0
        ),
        ""
      ),
      ( (        ROW(
        ) - 11 ) / 30 ) + 4
    ) &amp; "(15時50分～21時)",
    ""
    )
  ),
  ""
)</f>
        <v/>
      </c>
      <c r="F11" s="67"/>
      <c r="J11" s="16" t="str">
        <f>IF(A11="","※折防ロング研修","")</f>
        <v>※折防ロング研修</v>
      </c>
      <c r="Z11" s="16" t="str">
        <f t="shared" si="0"/>
        <v/>
      </c>
    </row>
    <row r="12" spans="1:26">
      <c r="A12" s="18"/>
      <c r="B12" s="16" t="s">
        <v>115</v>
      </c>
      <c r="C12" s="19" t="str" cm="1">
        <f t="array" aca="1" ref="C12" ca="1">IF(INDIRECT("R"&amp;ROW()&amp;"C"&amp;COLUMN()-1,FALSE)="","",((IF(OR(INDIRECT("R"&amp;ROW()&amp;"C"&amp;COLUMN()+1,FALSE)&lt;&gt;"",INDIRECT("R"&amp;ROW()&amp;"C"&amp;COLUMN()+2,FALSE)&lt;&gt;""),"　",""))))</f>
        <v/>
      </c>
      <c r="F12" s="67"/>
      <c r="Z12" s="16" t="str">
        <f t="shared" si="0"/>
        <v/>
      </c>
    </row>
    <row r="13" spans="1:26">
      <c r="A13" s="66" t="s">
        <v>20</v>
      </c>
      <c r="B13" s="16" t="s">
        <v>93</v>
      </c>
      <c r="C13" s="19" t="str" cm="1">
        <f t="array" aca="1" ref="C13" ca="1">IF(INDIRECT("R"&amp;ROW()&amp;"C"&amp;COLUMN()-1,FALSE)="","",((IF(OR(INDIRECT("R"&amp;ROW()&amp;"C"&amp;COLUMN()+1,FALSE)&lt;&gt;"",INDIRECT("R"&amp;ROW()&amp;"C"&amp;COLUMN()+2,FALSE)&lt;&gt;""),"　",""))))</f>
        <v/>
      </c>
      <c r="Z13" s="16" t="str">
        <f t="shared" si="0"/>
        <v/>
      </c>
    </row>
    <row r="14" spans="1:26">
      <c r="A14" s="67" t="s">
        <v>117</v>
      </c>
      <c r="B14" s="16" t="str">
        <f>IF(Sheet1!D7="","",
IF(COUNTIF(Sheet1!D7,"*:*")=1,SUBSTITUTE(SUBSTITUTE(Sheet1!D7&amp;CHAR(10)&amp;"(～20:30)",CHAR(10),""),"(～20:30)","")&amp;"(～20時30分)",Sheet1!D7)
)</f>
        <v>相良 月</v>
      </c>
      <c r="C14" s="19" t="str" cm="1">
        <f t="array" aca="1" ref="C14" ca="1">IF(INDIRECT("R"&amp;ROW()&amp;"C"&amp;COLUMN()-1,FALSE)="","",((IF(OR(INDIRECT("R"&amp;ROW()&amp;"C"&amp;COLUMN()+1,FALSE)&lt;&gt;"",INDIRECT("R"&amp;ROW()&amp;"C"&amp;COLUMN()+2,FALSE)&lt;&gt;""),"　",""))))</f>
        <v/>
      </c>
      <c r="Z14" s="16" t="str">
        <f t="shared" si="0"/>
        <v/>
      </c>
    </row>
    <row r="15" spans="1:26">
      <c r="A15" s="67" t="s">
        <v>118</v>
      </c>
      <c r="B15" s="16" t="str">
        <f>IF(
  COUNTIF(
    Sheet1!D8:D11,
    "*:*"
  ) = 0,
  Sheet1!D8 &amp; "　" &amp; Sheet1!D9,
  IF(
    COUNTIF(
    Sheet1!D8:D11,
    "*:*"
    ) = 1,
    Sheet1!D8 &amp; "　" &amp;
SUBSTITUTE(
    SUBSTITUTE(
    Sheet1!D9 &amp;
    CHAR(
      10
    ) &amp; "(～20:30)",
    CHAR(
      10
    ),
    ""
    ),
    "(～20:30)",
    ""
  )
 &amp; "(～20時30分)",
    IF(
    COUNTIF(
      Sheet1!D8:D11,
      "*:*"
    ) = 2,
    SUBSTITUTE(
    SUBSTITUTE(
    Sheet1!D8 &amp;
    CHAR(
      10
    ) &amp; "(～20:30)",
    CHAR(
      10
    ),
    ""
    ),
    "(～20:30)",
    ""
  )
&amp; "(～20時30分) " &amp;
SUBSTITUTE(
    SUBSTITUTE(
    Sheet1!D9 &amp;
    CHAR(
      10
    ) &amp; "(～20:30)",
    CHAR(
      10
    ),
    ""
    ),
    "(～20:30)",
    ""
  )
 &amp; "(～20時30分)"
    )
  )
)</f>
        <v>北原 月　二瓶 月</v>
      </c>
      <c r="C15" s="19" t="str" cm="1">
        <f t="array" aca="1" ref="C15" ca="1">IF(INDIRECT("R"&amp;ROW()&amp;"C"&amp;COLUMN()-1,FALSE)="","",((IF(OR(INDIRECT("R"&amp;ROW()&amp;"C"&amp;COLUMN()+1,FALSE)&lt;&gt;"",INDIRECT("R"&amp;ROW()&amp;"C"&amp;COLUMN()+2,FALSE)&lt;&gt;""),"　",""))))</f>
        <v/>
      </c>
      <c r="Z15" s="16" t="str">
        <f t="shared" si="0"/>
        <v/>
      </c>
    </row>
    <row r="16" spans="1:26">
      <c r="A16" s="67" t="s">
        <v>119</v>
      </c>
      <c r="B16" s="16" t="str">
        <f>IF(COUNTIF(Sheet1!D8:D11,"*:*")=0, Sheet1!D10&amp;"　"&amp;Sheet1!D11, IF(COUNTIF(Sheet1!D8:D11,"*:*")=1,Sheet1!D11, IF(COUNTIF(Sheet1!D8:D11,"*:*")=2, "-")))</f>
        <v>神谷 月　三上 月</v>
      </c>
      <c r="C16" s="19" t="str" cm="1">
        <f t="array" aca="1" ref="C16" ca="1">IF(INDIRECT("R"&amp;ROW()&amp;"C"&amp;COLUMN()-1,FALSE)="","",((IF(OR(INDIRECT("R"&amp;ROW()&amp;"C"&amp;COLUMN()+1,FALSE)&lt;&gt;"",INDIRECT("R"&amp;ROW()&amp;"C"&amp;COLUMN()+2,FALSE)&lt;&gt;""),"　",""))))</f>
        <v/>
      </c>
      <c r="Z16" s="16" t="str">
        <f t="shared" si="0"/>
        <v/>
      </c>
    </row>
    <row r="17" spans="1:26">
      <c r="A17" s="67" t="str">
        <f>IF(B17&lt;&gt;"","早番研修　","")</f>
        <v/>
      </c>
      <c r="B17" s="16" t="str" cm="1">
        <f t="array" ref="B17">IFERROR(IF(INDEX(Sheet1!$A$15:D22,IFERROR(MATCH("烏丸早番",Sheet1!$A$15:$A$22,0),""),((ROW()-17)/30)+4)="","",IFERROR(INDEX(Sheet1!$A$15:D22,IFERROR(MATCH("烏丸早番",Sheet1!$A$15:$A$22,0),""),((ROW()-17)/30)+4)&amp;"(17時～19時)","")),"")</f>
        <v/>
      </c>
      <c r="C17" s="19" t="str" cm="1">
        <f t="array" aca="1" ref="C17" ca="1">IF(INDIRECT("R"&amp;ROW()&amp;"C"&amp;COLUMN()-1,FALSE)="","",((IF(OR(INDIRECT("R"&amp;ROW()&amp;"C"&amp;COLUMN()+1,FALSE)&lt;&gt;"",INDIRECT("R"&amp;ROW()&amp;"C"&amp;COLUMN()+2,FALSE)&lt;&gt;""),"　",""))))</f>
        <v/>
      </c>
      <c r="D17" s="16" t="str" cm="1">
        <f t="array" aca="1" ref="D17" ca="1">IFERROR(
  IF(
    INDEX(
    INDIRECT( "Sheet1!A" &amp; MATCH( "烏丸早番", Sheet1!$A$15:$A$22, 0 ) + 15 )
    :Sheet1!D22,
    IFERROR(
      MATCH(
        "烏丸早番",
        INDIRECT( "Sheet1!A" &amp; MATCH( "烏丸早番", Sheet1!$A$15:$A$22, 0 ) + 15 )
        :Sheet1!$A$22,
        0
      ),
      ""
    ),
    ( (        ROW(
        ) - 17 ) / 30 ) + 4
    ) = "",
    "",
    IFERROR(
    INDEX(
      INDIRECT( "Sheet1!A" &amp; MATCH( "烏丸早番", Sheet1!$A$15:$A$22, 0 ) + 15 )
      :Sheet1!D22,
      IFERROR(
        MATCH(
        "烏丸早番",
        INDIRECT( "Sheet1!A" &amp; MATCH( "烏丸早番", Sheet1!$A$15:$A$22, 0 ) + 15 )
        :Sheet1!$A$22,
        0
        ),
        ""
      ),
      ( (        ROW(
        ) - 17 ) / 30 ) + 4
    ) &amp; "(17時～19時)",
    ""
    )
  ),
  ""
)</f>
        <v/>
      </c>
      <c r="J17" s="16" t="str">
        <f>IF(A17="","※烏丸早番研修","")</f>
        <v>※烏丸早番研修</v>
      </c>
      <c r="Z17" s="16" t="str">
        <f t="shared" si="0"/>
        <v/>
      </c>
    </row>
    <row r="18" spans="1:26">
      <c r="A18" s="67" t="str">
        <f>IF(B18&lt;&gt;"","遅番研修　","")</f>
        <v/>
      </c>
      <c r="B18" s="16" t="str" cm="1">
        <f t="array" ref="B18">IFERROR(IF(INDEX(Sheet1!$A$15:D22,IFERROR(MATCH("*烏丸遅番*",Sheet1!$A$15:$A$22,0),""),((ROW()-18)/30)+4)="","",IFERROR(INDEX(Sheet1!$A$15:D22,IFERROR(MATCH("*烏丸遅番*",Sheet1!$A$15:$A$22,0),""),((ROW()-18)/30)+4)&amp;"(18時～20時30分)","")),"")</f>
        <v/>
      </c>
      <c r="C18" s="19" t="str" cm="1">
        <f t="array" aca="1" ref="C18" ca="1">IF(INDIRECT("R"&amp;ROW()&amp;"C"&amp;COLUMN()-1,FALSE)="","",((IF(OR(INDIRECT("R"&amp;ROW()&amp;"C"&amp;COLUMN()+1,FALSE)&lt;&gt;"",INDIRECT("R"&amp;ROW()&amp;"C"&amp;COLUMN()+2,FALSE)&lt;&gt;""),"　",""))))</f>
        <v/>
      </c>
      <c r="D18" s="16" t="str" cm="1">
        <f t="array" aca="1" ref="D18" ca="1">IFERROR(
  IF(
    INDEX(
    INDIRECT( "Sheet1!A" &amp; MATCH( "*烏丸遅番*", Sheet1!$A$15:$A$22, 0 ) + 15 )
    :Sheet1!D22,
    IFERROR(
      MATCH(
        "*烏丸遅番*",
        INDIRECT( "Sheet1!A" &amp; MATCH( "*烏丸遅番*", Sheet1!$A$15:$A$22, 0 ) + 15 )
        :Sheet1!$A$22,
        0
      ),
      ""
    ),
    ( (        ROW(
        ) - 18 ) / 30 ) + 4
    ) = "",
    "",
    IFERROR(
    INDEX(
      INDIRECT( "Sheet1!A" &amp; MATCH( "*烏丸遅番*", Sheet1!$A$15:$A$22, 0 ) + 15 )
      :Sheet1!D22,
      IFERROR(
        MATCH(
        "*烏丸遅番*",
        INDIRECT( "Sheet1!A" &amp; MATCH( "*烏丸遅番*", Sheet1!$A$15:$A$22, 0 ) + 15 )
        :Sheet1!$A$22,
        0
        ),
        ""
      ),
      ( (        ROW(
        ) - 18 ) / 30 ) + 4
    ) &amp; "(18時～20時30分)",
    ""
    )
  ),
  ""
)</f>
        <v/>
      </c>
      <c r="J18" s="16" t="str">
        <f>IF(A18="","※烏丸遅番研修","")</f>
        <v>※烏丸遅番研修</v>
      </c>
      <c r="Z18" s="16" t="str">
        <f t="shared" si="0"/>
        <v/>
      </c>
    </row>
    <row r="19" spans="1:26" ht="18.75" customHeight="1">
      <c r="A19" s="67" t="str">
        <f>IF(B19&lt;&gt;"","早番ロング研修　","")</f>
        <v/>
      </c>
      <c r="B19" s="16" t="str" cm="1">
        <f t="array" ref="B19">IF(AND(COUNTIF(Sheet1!$A$15:$A$22,"烏丸早番ロング")&gt;0,COUNTIF(Sheet1!$A$15:$A$22,"烏丸ロング")&gt;0)=TRUE,"エラー！
Sheet1の見習欄の駅名を統一してください",
IF(IFERROR(IFERROR(INDEX(Sheet1!$A$15:D22,IFERROR(MATCH("烏丸早番ロング",Sheet1!$A$15:$A$22,0),""),((ROW()-19)/30)+4),INDEX(Sheet1!$A$15:D22,IFERROR(MATCH("烏丸ロング",Sheet1!$A$15:$A$22,0),""),((ROW()-19)/30)+4)),"")&lt;&gt;"",
IFERROR(IFERROR(INDEX(Sheet1!$A$15:D22,IFERROR(MATCH("烏丸早番ロング",Sheet1!$A$15:$A$22,0),""),((ROW()-19)/30)+4),INDEX(Sheet1!$A$15:D22,IFERROR(MATCH("烏丸ロング",Sheet1!$A$15:$A$22,0),""),((ROW()-19)/30)+4)),"")&amp;"(17時～20時30分)",""))</f>
        <v/>
      </c>
      <c r="C19" s="19" t="str" cm="1">
        <f t="array" aca="1" ref="C19" ca="1">IF(INDIRECT("R"&amp;ROW()&amp;"C"&amp;COLUMN()-1,FALSE)="","",((IF(OR(INDIRECT("R"&amp;ROW()&amp;"C"&amp;COLUMN()+1,FALSE)&lt;&gt;"",INDIRECT("R"&amp;ROW()&amp;"C"&amp;COLUMN()+2,FALSE)&lt;&gt;""),"　",""))))</f>
        <v/>
      </c>
      <c r="D19" s="122" t="str" cm="1">
        <f t="array" aca="1" ref="D19" ca="1">IF(AND(COUNTIF(Sheet1!$A$15:$A$22,"烏丸早番ロング")&gt;0,COUNTIF(Sheet1!$A$15:$A$22,"烏丸ロング")&gt;0)=TRUE,"エラー！Sheet1の見習欄の駅名を統一してください",IF(
IFERROR(
IFERROR(
INDEX(
INDIRECT("Sheet1!A"&amp;MATCH("烏丸早番ロング",Sheet1!$A$15:$A$22,0)+15)
:Sheet1!D22,
IFERROR(
MATCH(
"烏丸早番ロング",
INDIRECT("Sheet1!A"&amp;MATCH("烏丸早番ロング",Sheet1!$A$15:$A$22,0)+15)
:Sheet1!$A$22,
0
),
""
),
((ROW(
)-19)/30)+4
),
INDEX(
INDIRECT("Sheet1!A"&amp;MATCH("烏丸早番ロング",Sheet1!$A$15:$A$22,0)+15)
:Sheet1!D22,
IFERROR(
MATCH(
"烏丸ロング",
INDIRECT("Sheet1!A"&amp;MATCH("烏丸早番ロング",Sheet1!$A$15:$A$22,0)+15)
:Sheet1!$A$22,
0
),
""
),
((ROW(
)-19)/30)+4
)
),
""
)&lt;&gt;"",
IFERROR(
IFERROR(
INDEX(
INDIRECT("Sheet1!A"&amp;MATCH("烏丸早番ロング",Sheet1!$A$15:$A$22,0)+15)
:Sheet1!D22,
IFERROR(
MATCH(
"烏丸早番ロング",
INDIRECT("Sheet1!A"&amp;MATCH("烏丸早番ロング",Sheet1!$A$15:$A$22,0)+15)
:Sheet1!$A$22,
0
),
""
),
((ROW(
)-19)/30)+4
),
INDEX(
INDIRECT("Sheet1!A"&amp;MATCH("烏丸早番ロング",Sheet1!$A$15:$A$22,0)+15)
:Sheet1!D22,
IFERROR(
MATCH(
"烏丸ロング",
INDIRECT("Sheet1!A"&amp;MATCH("烏丸早番ロング",Sheet1!$A$15:$A$22,0)+15)
:Sheet1!$A$22,
0
),
""
),
((ROW(
)-19)/30)+4
)
),
""
)&amp;"(17時～20時30分)",
""
))</f>
        <v/>
      </c>
      <c r="E19" s="16" t="str" cm="1">
        <f t="array" aca="1" ref="E19" ca="1">IF(AND(COUNTIF(Sheet1!$A$15:$A$22,"烏丸早番ロング")&gt;0,COUNTIF(Sheet1!$A$15:$A$22,"烏丸ロング")&gt;0)=TRUE,"エラー！
Sheet1の見習欄の駅名を統一してください",
IFERROR(
  IF(
    INDEX(
    INDIRECT( "Sheet1!A" &amp; MATCH( "*烏丸ロング*", Sheet1!$A$15:$A$22, 0 ) + 15 )
    :Sheet1!D22,
    IFERROR(
      MATCH(
        "*烏丸ロング*",
        INDIRECT( "Sheet1!A" &amp; MATCH( "*烏丸ロング*", Sheet1!$A$15:$A$22, 0 ) + 15 )
        :Sheet1!$A$22,
        0
      ),
      ""
    ),
    ( (        ROW(
        ) - 18 ) / 30 ) + 4
    ) = "",
    "",
    IFERROR(
    INDEX(
      INDIRECT( "Sheet1!A" &amp; MATCH( "*烏丸ロング*", Sheet1!$A$15:$A$22, 0 ) + 15 )
      :Sheet1!D22,
      IFERROR(
        MATCH(
        "*烏丸ロング*",
        INDIRECT( "Sheet1!A" &amp; MATCH( "*烏丸ロング*", Sheet1!$A$15:$A$22, 0 ) + 15 )
        :Sheet1!$A$22,
        0
        ),
        ""
      ),
      ( (        ROW(
        ) - 18 ) / 30 ) + 4
    ) &amp; "(17時～20時30分)",
    ""
    )
  ),
  ""
))</f>
        <v/>
      </c>
      <c r="J19" s="16" t="str">
        <f>IF(A19="","※烏丸早番ロング研修","")</f>
        <v>※烏丸早番ロング研修</v>
      </c>
      <c r="Z19" s="16" t="str">
        <f t="shared" si="0"/>
        <v/>
      </c>
    </row>
    <row r="20" spans="1:26" ht="18.75" customHeight="1">
      <c r="A20" s="67"/>
      <c r="B20" s="16" t="s">
        <v>115</v>
      </c>
      <c r="C20" s="19" t="str" cm="1">
        <f t="array" aca="1" ref="C20" ca="1">IF(INDIRECT("R"&amp;ROW()&amp;"C"&amp;COLUMN()-1,FALSE)="","",((IF(OR(INDIRECT("R"&amp;ROW()&amp;"C"&amp;COLUMN()+1,FALSE)&lt;&gt;"",INDIRECT("R"&amp;ROW()&amp;"C"&amp;COLUMN()+2,FALSE)&lt;&gt;""),"　",""))))</f>
        <v/>
      </c>
      <c r="D20" s="122"/>
      <c r="Z20" s="16" t="str">
        <f t="shared" si="0"/>
        <v/>
      </c>
    </row>
    <row r="21" spans="1:26">
      <c r="A21" s="66" t="s">
        <v>21</v>
      </c>
      <c r="B21" s="16" t="s">
        <v>101</v>
      </c>
      <c r="C21" s="19" t="str" cm="1">
        <f t="array" aca="1" ref="C21" ca="1">IF(INDIRECT("R"&amp;ROW()&amp;"C"&amp;COLUMN()-1,FALSE)="","",((IF(OR(INDIRECT("R"&amp;ROW()&amp;"C"&amp;COLUMN()+1,FALSE)&lt;&gt;"",INDIRECT("R"&amp;ROW()&amp;"C"&amp;COLUMN()+2,FALSE)&lt;&gt;""),"　",""))))</f>
        <v/>
      </c>
      <c r="Z21" s="16" t="str">
        <f t="shared" si="0"/>
        <v/>
      </c>
    </row>
    <row r="22" spans="1:26">
      <c r="A22" s="67" t="s">
        <v>120</v>
      </c>
      <c r="B22" s="16" t="str">
        <f>IF(Sheet1!D12&lt;&gt;"",Sheet1!D12,"")</f>
        <v>五味 月</v>
      </c>
      <c r="C22" s="19" t="str" cm="1">
        <f t="array" aca="1" ref="C22" ca="1">IF(INDIRECT("R"&amp;ROW()&amp;"C"&amp;COLUMN()-1,FALSE)="","",((IF(OR(INDIRECT("R"&amp;ROW()&amp;"C"&amp;COLUMN()+1,FALSE)&lt;&gt;"",INDIRECT("R"&amp;ROW()&amp;"C"&amp;COLUMN()+2,FALSE)&lt;&gt;""),"　",""))))</f>
        <v/>
      </c>
      <c r="Z22" s="16" t="str">
        <f t="shared" si="0"/>
        <v/>
      </c>
    </row>
    <row r="23" spans="1:26">
      <c r="A23" s="67" t="str">
        <f>IF(B23&lt;&gt;"","大宮上り研修　","")</f>
        <v/>
      </c>
      <c r="B23" s="16" t="str" cm="1">
        <f t="array" ref="B23">IFERROR(IF(INDEX(Sheet1!$A$15:D22,IFERROR(MATCH("*大宮*",Sheet1!$A$15:$A$22,0),""),((ROW()-23)/30)+4)="","",IFERROR(INDEX(Sheet1!$A$15:D22,IFERROR(MATCH("*大宮*",Sheet1!$A$15:$A$22,0),""),((ROW()-23)/30)+4)&amp;"(17時30分～19時30分)","")),"")</f>
        <v/>
      </c>
      <c r="C23" s="19" t="str" cm="1">
        <f t="array" aca="1" ref="C23" ca="1">IF(INDIRECT("R"&amp;ROW()&amp;"C"&amp;COLUMN()-1,FALSE)="","",((IF(OR(INDIRECT("R"&amp;ROW()&amp;"C"&amp;COLUMN()+1,FALSE)&lt;&gt;"",INDIRECT("R"&amp;ROW()&amp;"C"&amp;COLUMN()+2,FALSE)&lt;&gt;""),"　",""))))</f>
        <v/>
      </c>
      <c r="D23" s="16" t="str" cm="1">
        <f t="array" aca="1" ref="D23" ca="1">IFERROR(
  IF(
    INDEX(
    INDIRECT( "Sheet1!A" &amp; MATCH( "*大宮*", Sheet1!$A$15:$A$22, 0 ) + 15 )
    :Sheet1!D22,
    IFERROR(
      MATCH(
        "*大宮*",
        INDIRECT( "Sheet1!A" &amp; MATCH( "*大宮*", Sheet1!$A$15:$A$22, 0 ) + 15 )
        :Sheet1!$A$22,
        0
      ),
      ""
    ),
    ( (        ROW(
        ) - 23 ) / 30 ) + 4
    ) = "",
    "",
    IFERROR(
    INDEX(
      INDIRECT( "Sheet1!A" &amp; MATCH( "*大宮*", Sheet1!$A$15:$A$22, 0 ) + 15 )
      :Sheet1!D22,
      IFERROR(
        MATCH(
        "*大宮*",
        INDIRECT( "Sheet1!A" &amp; MATCH( "*大宮*", Sheet1!$A$15:$A$22, 0 ) + 15 )
        :Sheet1!$A$22,
        0
        ),
        ""
      ),
      ( (        ROW(
        ) - 23 ) / 30 ) + 4
    ) &amp; "(17時30分～19時30分)",
    ""
    )
  ),
  ""
)</f>
        <v/>
      </c>
      <c r="J23" s="16" t="str">
        <f>IF(A23="","※大宮上り研修","")</f>
        <v>※大宮上り研修</v>
      </c>
      <c r="Z23" s="16" t="str">
        <f t="shared" si="0"/>
        <v/>
      </c>
    </row>
    <row r="24" spans="1:26">
      <c r="A24" s="67"/>
      <c r="B24" s="16" t="s">
        <v>115</v>
      </c>
      <c r="C24" s="19" t="str" cm="1">
        <f t="array" aca="1" ref="C24" ca="1">IF(INDIRECT("R"&amp;ROW()&amp;"C"&amp;COLUMN()-1,FALSE)="","",((IF(OR(INDIRECT("R"&amp;ROW()&amp;"C"&amp;COLUMN()+1,FALSE)&lt;&gt;"",INDIRECT("R"&amp;ROW()&amp;"C"&amp;COLUMN()+2,FALSE)&lt;&gt;""),"　",""))))</f>
        <v/>
      </c>
      <c r="Z24" s="16" t="str">
        <f t="shared" si="0"/>
        <v/>
      </c>
    </row>
    <row r="25" spans="1:26">
      <c r="A25" s="66" t="s">
        <v>22</v>
      </c>
      <c r="B25" s="16" t="s">
        <v>103</v>
      </c>
      <c r="C25" s="19" t="str" cm="1">
        <f t="array" aca="1" ref="C25" ca="1">IF(INDIRECT("R"&amp;ROW()&amp;"C"&amp;COLUMN()-1,FALSE)="","",((IF(OR(INDIRECT("R"&amp;ROW()&amp;"C"&amp;COLUMN()+1,FALSE)&lt;&gt;"",INDIRECT("R"&amp;ROW()&amp;"C"&amp;COLUMN()+2,FALSE)&lt;&gt;""),"　",""))))</f>
        <v/>
      </c>
      <c r="Z25" s="16" t="str">
        <f t="shared" si="0"/>
        <v/>
      </c>
    </row>
    <row r="26" spans="1:26">
      <c r="A26" s="67" t="s">
        <v>121</v>
      </c>
      <c r="B26" s="16" t="str">
        <f>IF(Sheet1!D13&lt;&gt;"",Sheet1!D13,"")</f>
        <v>片野 月</v>
      </c>
      <c r="C26" s="19" t="str" cm="1">
        <f t="array" aca="1" ref="C26" ca="1">IF(INDIRECT("R"&amp;ROW()&amp;"C"&amp;COLUMN()-1,FALSE)="","",((IF(OR(INDIRECT("R"&amp;ROW()&amp;"C"&amp;COLUMN()+1,FALSE)&lt;&gt;"",INDIRECT("R"&amp;ROW()&amp;"C"&amp;COLUMN()+2,FALSE)&lt;&gt;""),"　",""))))</f>
        <v/>
      </c>
      <c r="Z26" s="16" t="str">
        <f t="shared" si="0"/>
        <v/>
      </c>
    </row>
    <row r="27" spans="1:26">
      <c r="A27" s="67"/>
      <c r="B27" s="16" t="s">
        <v>115</v>
      </c>
      <c r="C27" s="19" t="str" cm="1">
        <f t="array" aca="1" ref="C27" ca="1">IF(INDIRECT("R"&amp;ROW()&amp;"C"&amp;COLUMN()-1,FALSE)="","",((IF(OR(INDIRECT("R"&amp;ROW()&amp;"C"&amp;COLUMN()+1,FALSE)&lt;&gt;"",INDIRECT("R"&amp;ROW()&amp;"C"&amp;COLUMN()+2,FALSE)&lt;&gt;""),"　",""))))</f>
        <v/>
      </c>
      <c r="Z27" s="16" t="str">
        <f t="shared" si="0"/>
        <v/>
      </c>
    </row>
    <row r="28" spans="1:26">
      <c r="A28" s="66" t="s">
        <v>23</v>
      </c>
      <c r="B28" s="16" t="s">
        <v>103</v>
      </c>
      <c r="C28" s="19" t="str" cm="1">
        <f t="array" aca="1" ref="C28" ca="1">IF(INDIRECT("R"&amp;ROW()&amp;"C"&amp;COLUMN()-1,FALSE)="","",((IF(OR(INDIRECT("R"&amp;ROW()&amp;"C"&amp;COLUMN()+1,FALSE)&lt;&gt;"",INDIRECT("R"&amp;ROW()&amp;"C"&amp;COLUMN()+2,FALSE)&lt;&gt;""),"　",""))))</f>
        <v/>
      </c>
      <c r="Z28" s="16" t="str">
        <f t="shared" si="0"/>
        <v/>
      </c>
    </row>
    <row r="29" spans="1:26">
      <c r="A29" s="67" t="s">
        <v>120</v>
      </c>
      <c r="B29" s="16" t="str">
        <f>IF(Sheet1!D14&lt;&gt;"",Sheet1!D14,"")</f>
        <v>菅原 月</v>
      </c>
      <c r="C29" s="19" t="str" cm="1">
        <f t="array" aca="1" ref="C29" ca="1">IF(INDIRECT("R"&amp;ROW()&amp;"C"&amp;COLUMN()-1,FALSE)="","",((IF(OR(INDIRECT("R"&amp;ROW()&amp;"C"&amp;COLUMN()+1,FALSE)&lt;&gt;"",INDIRECT("R"&amp;ROW()&amp;"C"&amp;COLUMN()+2,FALSE)&lt;&gt;""),"　",""))))</f>
        <v/>
      </c>
      <c r="Z29" s="16" t="str">
        <f t="shared" si="0"/>
        <v/>
      </c>
    </row>
    <row r="30" spans="1:26">
      <c r="B30" s="16" t="s">
        <v>102</v>
      </c>
      <c r="C30" s="19" t="str" cm="1">
        <f t="array" aca="1" ref="C30" ca="1">IF(INDIRECT("R"&amp;ROW()&amp;"C"&amp;COLUMN()-1,FALSE)="","",((IF(OR(INDIRECT("R"&amp;ROW()&amp;"C"&amp;COLUMN()+1,FALSE)&lt;&gt;"",INDIRECT("R"&amp;ROW()&amp;"C"&amp;COLUMN()+2,FALSE)&lt;&gt;""),"　",""))))</f>
        <v/>
      </c>
      <c r="J30" s="16" t="str">
        <f>IF(A31="","※年休↓","")</f>
        <v/>
      </c>
      <c r="Z30" s="16" t="str">
        <f t="shared" si="0"/>
        <v/>
      </c>
    </row>
    <row r="31" spans="1:26">
      <c r="A31" s="2" t="s">
        <v>122</v>
      </c>
      <c r="B31" s="16" t="str">
        <f>IF(COUNTIF(データ処理部!D15:D38,"")=0,"",
IFERROR(INDEX(db!$E$4:$F$27,MATCH(SMALL(db!$E$4:$F$27,COLUMN()-1),db!$F$4:$F$27,0),1)&amp;"　",""))</f>
        <v/>
      </c>
      <c r="C31" s="16" t="str">
        <f>IFERROR(INDEX(db!$E$4:$F$27,MATCH(SMALL(db!$E$4:$F$27,COLUMN()-1),db!$F$4:$F$27,0),1)&amp;"　","")</f>
        <v/>
      </c>
      <c r="D31" s="16" t="str">
        <f>IFERROR(INDEX(db!$E$4:$F$27,MATCH(SMALL(db!$E$4:$F$27,COLUMN()-1),db!$F$4:$F$27,0),1)&amp;"　","")</f>
        <v/>
      </c>
      <c r="E31" s="16" t="str">
        <f>IFERROR(INDEX(db!$E$4:$F$27,MATCH(SMALL(db!$E$4:$F$27,COLUMN()-1),db!$F$4:$F$27,0),1)&amp;"　","")</f>
        <v/>
      </c>
      <c r="F31" s="16" t="str">
        <f>IFERROR(INDEX(db!$E$4:$F$27,MATCH(SMALL(db!$E$4:$F$27,COLUMN()-1),db!$F$4:$F$27,0),1)&amp;"　","")</f>
        <v/>
      </c>
      <c r="G31" s="16" t="str">
        <f>IFERROR(INDEX(db!$E$4:$F$27,MATCH(SMALL(db!$E$4:$F$27,COLUMN()-1),db!$F$4:$F$27,0),1)&amp;"　","")</f>
        <v/>
      </c>
      <c r="H31" s="16" t="str">
        <f>IFERROR(INDEX(db!$E$4:$F$27,MATCH(SMALL(db!$E$4:$F$27,COLUMN()-1),db!$F$4:$F$27,0),1)&amp;"　","")</f>
        <v/>
      </c>
      <c r="I31" s="16" t="str">
        <f>IFERROR(INDEX(db!$E$4:$F$27,MATCH(SMALL(db!$E$4:$F$27,COLUMN()-1),db!$F$4:$F$27,0),1)&amp;"　","")</f>
        <v/>
      </c>
      <c r="J31" s="16" t="str">
        <f>IFERROR(INDEX(db!$E$4:$F$27,MATCH(SMALL(db!$E$4:$F$27,COLUMN()-1),db!$F$4:$F$27,0),1)&amp;"　","")</f>
        <v/>
      </c>
      <c r="K31" s="16" t="str">
        <f>IFERROR(INDEX(db!$E$4:$F$27,MATCH(SMALL(db!$E$4:$F$27,COLUMN()-1),db!$F$4:$F$27,0),1)&amp;"　","")</f>
        <v/>
      </c>
      <c r="L31" s="16" t="str">
        <f>IFERROR(INDEX(db!$E$4:$F$27,MATCH(SMALL(db!$E$4:$F$27,COLUMN()-1),db!$F$4:$F$27,0),1)&amp;"　","")</f>
        <v/>
      </c>
      <c r="M31" s="16" t="str">
        <f>IFERROR(INDEX(db!$E$4:$F$27,MATCH(SMALL(db!$E$4:$F$27,COLUMN()-1),db!$F$4:$F$27,0),1)&amp;"　","")</f>
        <v/>
      </c>
      <c r="N31" s="16" t="str">
        <f>IFERROR(INDEX(db!$E$4:$F$27,MATCH(SMALL(db!$E$4:$F$27,COLUMN()-1),db!$F$4:$F$27,0),1)&amp;"　","")</f>
        <v/>
      </c>
      <c r="O31" s="16" t="str">
        <f>IFERROR(INDEX(db!$E$4:$F$27,MATCH(SMALL(db!$E$4:$F$27,COLUMN()-1),db!$F$4:$F$27,0),1)&amp;"　","")</f>
        <v/>
      </c>
      <c r="P31" s="16" t="str">
        <f>IFERROR(INDEX(db!$E$4:$F$27,MATCH(SMALL(db!$E$4:$F$27,COLUMN()-1),db!$F$4:$F$27,0),1)&amp;"　","")</f>
        <v/>
      </c>
      <c r="Q31" s="16" t="str">
        <f>IFERROR(INDEX(db!$E$4:$F$27,MATCH(SMALL(db!$E$4:$F$27,COLUMN()-1),db!$F$4:$F$27,0),1)&amp;"　","")</f>
        <v/>
      </c>
      <c r="R31" s="16" t="str">
        <f>IFERROR(INDEX(db!$E$4:$F$27,MATCH(SMALL(db!$E$4:$F$27,COLUMN()-1),db!$F$4:$F$27,0),1)&amp;"　","")</f>
        <v/>
      </c>
      <c r="S31" s="16" t="str">
        <f>IFERROR(INDEX(db!$E$4:$F$27,MATCH(SMALL(db!$E$4:$F$27,COLUMN()-1),db!$F$4:$F$27,0),1)&amp;"　","")</f>
        <v/>
      </c>
      <c r="T31" s="16" t="str">
        <f>IFERROR(INDEX(db!$E$4:$F$27,MATCH(SMALL(db!$E$4:$F$27,COLUMN()-1),db!$F$4:$F$27,0),1)&amp;"　","")</f>
        <v/>
      </c>
      <c r="U31" s="16" t="str">
        <f>IFERROR(INDEX(db!$E$4:$F$27,MATCH(SMALL(db!$E$4:$F$27,COLUMN()-1),db!$F$4:$F$27,0),1)&amp;"　","")</f>
        <v/>
      </c>
      <c r="V31" s="16" t="str">
        <f>IFERROR(INDEX(db!$E$4:$F$27,MATCH(SMALL(db!$E$4:$F$27,COLUMN()-1),db!$F$4:$F$27,0),1)&amp;"　","")</f>
        <v/>
      </c>
      <c r="W31" s="16" t="str">
        <f>IFERROR(INDEX(db!$E$4:$F$27,MATCH(SMALL(db!$E$4:$F$27,COLUMN()-1),db!$F$4:$F$27,0),1)&amp;"　","")</f>
        <v/>
      </c>
      <c r="X31" s="16" t="str">
        <f>IFERROR(INDEX(db!$E$4:$F$27,MATCH(SMALL(db!$E$4:$F$27,COLUMN()-1),db!$F$4:$F$27,0),1)&amp;"　","")</f>
        <v/>
      </c>
      <c r="Y31" s="16" t="str">
        <f>IFERROR(INDEX(db!$E$4:$F$27,MATCH(SMALL(db!$E$4:$F$27,COLUMN()-1),db!$F$4:$F$27,0),1)&amp;"　","")</f>
        <v/>
      </c>
      <c r="Z31" s="16" t="str">
        <f t="shared" si="0"/>
        <v/>
      </c>
    </row>
    <row r="32" spans="1:26">
      <c r="A32" s="66"/>
      <c r="B32" s="19" t="s">
        <v>111</v>
      </c>
      <c r="Z32" s="16" t="str">
        <f t="shared" si="0"/>
        <v/>
      </c>
    </row>
    <row r="33" spans="1:26">
      <c r="A33" s="118">
        <f>A3+1</f>
        <v>44264</v>
      </c>
      <c r="B33" s="16" t="s">
        <v>6</v>
      </c>
      <c r="Z33" s="16" t="str">
        <f t="shared" si="0"/>
        <v/>
      </c>
    </row>
    <row r="34" spans="1:26">
      <c r="A34" s="66" t="s">
        <v>19</v>
      </c>
      <c r="B34" s="19" t="s">
        <v>6</v>
      </c>
      <c r="Z34" s="16" t="str">
        <f t="shared" si="0"/>
        <v/>
      </c>
    </row>
    <row r="35" spans="1:26">
      <c r="A35" s="18" t="s">
        <v>112</v>
      </c>
      <c r="B35" s="19" t="str">
        <f>IF(Sheet1!E2&lt;&gt;"",Sheet1!E2,"")</f>
        <v>塚原 火</v>
      </c>
      <c r="C35" s="19"/>
      <c r="Z35" s="16" t="str">
        <f t="shared" si="0"/>
        <v/>
      </c>
    </row>
    <row r="36" spans="1:26">
      <c r="A36" s="18" t="str">
        <f>IF(B36&lt;&gt;"","操車研修　","")</f>
        <v/>
      </c>
      <c r="B36" s="19" t="str" cm="1">
        <f t="array" ref="B36">IFERROR( IF( INDEX( Sheet1!$A$15:E22, IFERROR( MATCH( "*操車*", Sheet1!$A$15:$A$22, 0 ), "" ), ((ROW()-6)/30)+4 ) = "", "", IFERROR( INDEX( Sheet1!$A$15:E22, IFERROR( MATCH( "*操車*", Sheet1!$A$15:$A$22, 0 ), "" ), ((ROW()-6)/30)+4 ) &amp; "(14時～20時)", "" ) ), "" )</f>
        <v/>
      </c>
      <c r="C36" s="121" t="str" cm="1">
        <f t="array" aca="1" ref="C36" ca="1">IF(INDIRECT("R"&amp;ROW()&amp;"C"&amp;COLUMN()-1,FALSE)="","",((IF(OR(INDIRECT("R"&amp;ROW()&amp;"C"&amp;COLUMN()+1,FALSE)&lt;&gt;"",INDIRECT("R"&amp;ROW()&amp;"C"&amp;COLUMN()+2,FALSE)&lt;&gt;""),"　",""))))</f>
        <v/>
      </c>
      <c r="D36" s="16" t="str" cm="1">
        <f t="array" aca="1" ref="D36" ca="1">IFERROR(
  IF(
    INDEX(
    INDIRECT( "Sheet1!A" &amp; MATCH( "*操車*", Sheet1!$A$15:$A$22, 0 ) + 15 )
    :Sheet1!E22,
    IFERROR(
      MATCH(
        "*操車*",
        INDIRECT( "Sheet1!A" &amp; MATCH( "*操車*", Sheet1!$A$15:$A$22, 0 ) + 15 )
        :Sheet1!$A$22,
        0
      ),
      ""
    ),
    ( (        ROW(
        ) - 6 ) / 30 ) + 4
    ) = "",
    "",
    IFERROR(
    INDEX(
      INDIRECT( "Sheet1!A" &amp; MATCH( "*操車*", Sheet1!$A$15:$A$22, 0 ) + 15 )
      :Sheet1!E22,
      IFERROR(
        MATCH(
        "*操車*",
        INDIRECT( "Sheet1!A" &amp; MATCH( "*操車*", Sheet1!$A$15:$A$22, 0 ) + 15 )
        :Sheet1!$A$22,
        0
        ),
        ""
      ),
      ( (        ROW(
        ) - 6 ) / 30 ) + 4
    ) &amp; "(14時～20時)",
    ""
    )
  ),
  ""
)</f>
        <v/>
      </c>
      <c r="J36" s="16" t="str">
        <f>IF(A36="","※操車研修","")</f>
        <v>※操車研修</v>
      </c>
      <c r="Z36" s="16" t="str">
        <f t="shared" si="0"/>
        <v/>
      </c>
    </row>
    <row r="37" spans="1:26">
      <c r="A37" s="18" t="s">
        <v>113</v>
      </c>
      <c r="B37" s="19" t="str">
        <f>IF( COUNTIF( Sheet1!E3:E6, "*:*" )=0, Sheet1!E3&amp;"　"&amp;Sheet1!E4, IF( COUNTIF( Sheet1!E3:E6, "*:*" )=1, Sheet1!E3&amp;" "&amp;Sheet1!E4&amp;"(～21時)", IF( COUNTIF( Sheet1!E3:E6, "*:*" )=2, SUBSTITUTE(SUBSTITUTE(Sheet1!E3&amp;CHAR(10)&amp;"(～21:00)",CHAR(10),""),"(～21:00)","")&amp;"(～21時) "&amp;"　"&amp;SUBSTITUTE(SUBSTITUTE(Sheet1!E4&amp;CHAR(10)&amp;"(～21:00)",CHAR(10),""),"(～21:00)","")&amp;"(～21時)" ) ) )</f>
        <v>土田 火　菅井 火</v>
      </c>
      <c r="C37" s="121" t="str" cm="1">
        <f t="array" aca="1" ref="C37" ca="1">IF(INDIRECT("R"&amp;ROW()&amp;"C"&amp;COLUMN()-1,FALSE)="","",((IF(OR(INDIRECT("R"&amp;ROW()&amp;"C"&amp;COLUMN()+1,FALSE)&lt;&gt;"",INDIRECT("R"&amp;ROW()&amp;"C"&amp;COLUMN()+2,FALSE)&lt;&gt;""),"　",""))))</f>
        <v/>
      </c>
      <c r="F37" s="117"/>
      <c r="Z37" s="16" t="str">
        <f t="shared" si="0"/>
        <v/>
      </c>
    </row>
    <row r="38" spans="1:26">
      <c r="A38" s="18" t="s">
        <v>114</v>
      </c>
      <c r="B38" s="19" t="str">
        <f>IF(COUNTIF(Sheet1!E3:E6,"*:*")=0, Sheet1!E5&amp;"　"&amp;Sheet1!E6, IF(COUNTIF(Sheet1!E3:E6,"*:*")=1, Sheet1!E6, IF(COUNTIF(Sheet1!E3:E6,"*:*")=2, "-")))</f>
        <v>三谷 火　黒木 火</v>
      </c>
      <c r="C38" s="121" t="str" cm="1">
        <f t="array" aca="1" ref="C38" ca="1">IF(INDIRECT("R"&amp;ROW()&amp;"C"&amp;COLUMN()-1,FALSE)="","",((IF(OR(INDIRECT("R"&amp;ROW()&amp;"C"&amp;COLUMN()+1,FALSE)&lt;&gt;"",INDIRECT("R"&amp;ROW()&amp;"C"&amp;COLUMN()+2,FALSE)&lt;&gt;""),"　",""))))</f>
        <v/>
      </c>
      <c r="Z38" s="16" t="str">
        <f t="shared" si="0"/>
        <v/>
      </c>
    </row>
    <row r="39" spans="1:26">
      <c r="A39" s="18" t="str">
        <f>IF(B39&lt;&gt;"","折早研修　","")</f>
        <v/>
      </c>
      <c r="B39" s="16" t="str" cm="1">
        <f t="array" ref="B39">IF(AND(COUNTIF(Sheet1!$A$15:$A$22,"*折防早番*")&gt;0,COUNTIF(Sheet1!$A$15:$A$22,"*折早*")&gt;0)=TRUE,"エラー！
Sheet1の見習欄の駅名を統一してください",
IFERROR(IF(INDEX(Sheet1!$A$15:E22,IFERROR(IFERROR(MATCH("*折防早番*",Sheet1!$A$15:$A$22,0),MATCH("*折早*",Sheet1!$A$15:$A$22,0)),""),((ROW()-9)/30)+4)="","",IFERROR(INDEX(Sheet1!$A$15:E22,IFERROR(IFERROR(MATCH("*折防早番*",Sheet1!$A$15:$A$22,0),MATCH("*折早*",Sheet1!$A$15:$A$22,0)),""),((ROW()-9)/30)+4)&amp;"(15時50分～19時)","")),"")
)</f>
        <v/>
      </c>
      <c r="C39" s="121" t="str" cm="1">
        <f t="array" aca="1" ref="C39" ca="1">IF(INDIRECT("R"&amp;ROW()&amp;"C"&amp;COLUMN()-1,FALSE)="","",((IF(OR(INDIRECT("R"&amp;ROW()&amp;"C"&amp;COLUMN()+1,FALSE)&lt;&gt;"",INDIRECT("R"&amp;ROW()&amp;"C"&amp;COLUMN()+2,FALSE)&lt;&gt;""),"　",""))))</f>
        <v/>
      </c>
      <c r="D39" s="16" t="str" cm="1">
        <f t="array" aca="1" ref="D39" ca="1">IF(AND(COUNTIF(Sheet1!$A$15:$A$22,"*折防早番*")&gt;0,COUNTIF(Sheet1!$A$15:$A$22,"*折早*")&gt;0)=TRUE,"エラー！
Sheet1の見習欄の駅名を統一してください",
IFERROR(
  IF(
    INDEX(
    INDIRECT( "Sheet1!A" &amp; MATCH( "*折防早番*", Sheet1!$A$15:$A$22, 0 ) + 15 )
    :Sheet1!E22,
    IFERROR(
      MATCH(
        "*折防早番*",
        INDIRECT( "Sheet1!A" &amp; MATCH( "*折防早番*", Sheet1!$A$15:$A$22, 0 ) + 15 )
        :Sheet1!$A$22,
        0
      ),
      ""
    ),
    ( (        ROW(
        ) - 9 ) / 30 ) + 4
    ) = "",
    "",
    IFERROR(
    INDEX(
      INDIRECT( "Sheet1!A" &amp; MATCH( "*折防早番*", Sheet1!$A$15:$A$22, 0 ) + 15 )
      :Sheet1!E22,
      IFERROR(
        MATCH(
        "*折防早番*",
        INDIRECT( "Sheet1!A" &amp; MATCH( "*折防早番*", Sheet1!$A$15:$A$22, 0 ) + 15 )
        :Sheet1!$A$22,
        0
        ),
        ""
      ),
      ( (        ROW(
        ) - 9 ) / 30 ) + 4
    ) &amp; "(15時50分～19時)",
    ""
    )
  ),
  ""
)
)</f>
        <v/>
      </c>
      <c r="E39" s="16" t="str" cm="1">
        <f t="array" aca="1" ref="E39" ca="1">IF(AND(COUNTIF(Sheet1!$A$15:$A$22,"*折防早番*")&gt;0,COUNTIF(Sheet1!$A$15:$A$22,"*折早*")&gt;0)=TRUE,"",
IFERROR(
  IF(
    INDEX(
    INDIRECT( "Sheet1!A" &amp; MATCH( "*折早*", Sheet1!$A$15:$A$22, 0 ) + 15 )
    :Sheet1!E22,
    IFERROR(
      MATCH(
        "*折早*",
        INDIRECT( "Sheet1!A" &amp; MATCH( "*折早*", Sheet1!$A$15:$A$22, 0 ) + 15 )
        :Sheet1!$A$22,
        0
      ),
      ""
    ),
    ( (        ROW(
        ) - 9 ) / 30 ) + 4
    ) = "",
    "",
    IFERROR(
    INDEX(
      INDIRECT( "Sheet1!A" &amp; MATCH( "*折早*", Sheet1!$A$15:$A$22, 0 ) + 15 )
      :Sheet1!E22,
      IFERROR(
        MATCH(
        "*折早*",
        INDIRECT( "Sheet1!A" &amp; MATCH( "*折早*", Sheet1!$A$15:$A$22, 0 ) + 15 )
        :Sheet1!$A$22,
        0
        ),
        ""
      ),
      ( (        ROW(
        ) - 9 ) / 30 ) + 4
    ) &amp; "(15時50分～19時)",
    ""
    )
  ),
  ""
)
)</f>
        <v/>
      </c>
      <c r="F39" s="67"/>
      <c r="J39" s="16" t="str">
        <f>IF(A39="","※折早研修","")</f>
        <v>※折早研修</v>
      </c>
      <c r="Z39" s="16" t="str">
        <f t="shared" si="0"/>
        <v/>
      </c>
    </row>
    <row r="40" spans="1:26">
      <c r="A40" s="18" t="str">
        <f>IF(B40&lt;&gt;"","折遅研修　","")</f>
        <v/>
      </c>
      <c r="B40" s="16" t="str" cm="1">
        <f t="array" ref="B40">IF(AND(COUNTIF(Sheet1!$A$15:$A$22,"*折防遅番*")&gt;0,COUNTIF(Sheet1!$A$15:$A$22,"*折遅*")&gt;0)=TRUE,"エラー！Sheet1の見習欄の駅名を統一してください",
IFERROR(IF(INDEX(Sheet1!$A$15:E22,IFERROR(IFERROR(MATCH("*折防遅番*",Sheet1!$A$15:$A$22,0),MATCH("*折遅*",Sheet1!$A$15:$A$22,0)),""),((ROW()-10)/30)+4)="","",IFERROR(INDEX(Sheet1!$A$15:E22,IFERROR(IFERROR(MATCH("*折防遅番*",Sheet1!$A$15:$A$22,0),MATCH("*折遅*",Sheet1!$A$15:$A$22,0)),""),((ROW()-10)/30)+4)&amp;"(17時～21時)","")),"")
)</f>
        <v/>
      </c>
      <c r="C40" s="121" t="str" cm="1">
        <f t="array" aca="1" ref="C40" ca="1">IF(INDIRECT("R"&amp;ROW()&amp;"C"&amp;COLUMN()-1,FALSE)="","",((IF(OR(INDIRECT("R"&amp;ROW()&amp;"C"&amp;COLUMN()+1,FALSE)&lt;&gt;"",INDIRECT("R"&amp;ROW()&amp;"C"&amp;COLUMN()+2,FALSE)&lt;&gt;""),"　",""))))</f>
        <v/>
      </c>
      <c r="D40" s="16" t="str" cm="1">
        <f t="array" aca="1" ref="D40" ca="1">IF(AND(COUNTIF(Sheet1!$A$15:$A$22,"*折防遅番*")&gt;0,COUNTIF(Sheet1!$A$15:$A$22,"*折遅*")&gt;0)=TRUE,"エラー！
Sheet1の見習欄の駅名を統一してください",
IFERROR(
  IF(
    INDEX(
    INDIRECT( "Sheet1!A" &amp; MATCH( "*折防遅番*", Sheet1!$A$15:$A$22, 0 ) + 15 )
    :Sheet1!E22,
    IFERROR(
      MATCH(
        "*折防遅番*",
        INDIRECT( "Sheet1!A" &amp; MATCH( "*折防遅番*", Sheet1!$A$15:$A$22, 0 ) + 15 )
        :Sheet1!$A$22,
        0
      ),
      ""
    ),
    ( (        ROW(
        ) - 10 ) / 30 ) + 4
    ) = "",
    "",
    IFERROR(
    INDEX(
      INDIRECT( "Sheet1!A" &amp; MATCH( "*折防遅番*", Sheet1!$A$15:$A$22, 0 ) + 15 )
      :Sheet1!E22,
      IFERROR(
        MATCH(
        "*折防遅番*",
        INDIRECT( "Sheet1!A" &amp; MATCH( "*折防遅番*", Sheet1!$A$15:$A$22, 0 ) + 15 )
        :Sheet1!$A$22,
        0
        ),
        ""
      ),
      ( (        ROW(
        ) - 10 ) / 30 ) + 4
    ) &amp; "(17時～21時)",
    ""
    )
  ),
  ""
)
)</f>
        <v/>
      </c>
      <c r="E40" s="16" t="str" cm="1">
        <f t="array" aca="1" ref="E40" ca="1">IF(AND(COUNTIF(Sheet1!$A$15:$A$22,"*折防遅番*")&gt;0,COUNTIF(Sheet1!$A$15:$A$22,"*折遅*")&gt;0)=TRUE,"",
IFERROR(
  IF(
    INDEX(
    INDIRECT( "Sheet1!A" &amp; MATCH( "*折遅*", Sheet1!$A$15:$A$22, 0 ) + 15 )
    :Sheet1!E22,
    IFERROR(
      MATCH(
        "*折遅*",
        INDIRECT( "Sheet1!A" &amp; MATCH( "*折遅*", Sheet1!$A$15:$A$22, 0 ) + 15 )
        :Sheet1!$A$22,
        0
      ),
      ""
    ),
    ( (        ROW(
        ) - 10 ) / 30 ) + 4
    ) = "",
    "",
    IFERROR(
    INDEX(
      INDIRECT( "Sheet1!A" &amp; MATCH( "*折遅*", Sheet1!$A$15:$A$22, 0 ) + 15 )
      :Sheet1!E22,
      IFERROR(
        MATCH(
        "*折遅*",
        INDIRECT( "Sheet1!A" &amp; MATCH( "*折遅*", Sheet1!$A$15:$A$22, 0 ) + 15 )
        :Sheet1!$A$22,
        0
        ),
        ""
      ),
      ( (        ROW(
        ) - 10 ) / 30 ) + 4
    ) &amp; "(17～21時)",
    ""
    )
  ),
  ""
)
)</f>
        <v/>
      </c>
      <c r="F40" s="67"/>
      <c r="J40" s="16" t="str">
        <f>IF(A40="","※折遅研修","")</f>
        <v>※折遅研修</v>
      </c>
      <c r="Z40" s="16" t="str">
        <f t="shared" si="0"/>
        <v/>
      </c>
    </row>
    <row r="41" spans="1:26">
      <c r="A41" s="18" t="str">
        <f>IF(B41&lt;&gt;"","折防ロング研修","")</f>
        <v/>
      </c>
      <c r="B41" s="16" t="str" cm="1">
        <f t="array" ref="B41">IF(AND(COUNTIF(Sheet1!$A$15:$A$22,"*折防ロング*")&gt;0,COUNTIF(Sheet1!$A$15:$A$22,"*折ロング*")&gt;0)=TRUE,"エラー！
Sheet1の見習欄の駅名を統一してください",
IFERROR(IF(INDEX(Sheet1!$A$15:E22,IFERROR(IFERROR(MATCH("*折防ロング*",Sheet1!$A$15:$A$22,0),MATCH("*折ロング*",Sheet1!$A$15:$A$22,0)),""),((ROW()-11)/30)+4)="","",IFERROR(INDEX(Sheet1!$A$15:E22,IFERROR(IFERROR(MATCH("*折防ロング*",Sheet1!$A$15:$A$22,0),MATCH("*折ロング*",Sheet1!$A$15:$A$22,0)),""),((ROW()-11)/30)+4)&amp;"(15時50分～21時)","")),"")
)</f>
        <v/>
      </c>
      <c r="C41" s="121" t="str" cm="1">
        <f t="array" aca="1" ref="C41" ca="1">IF(INDIRECT("R"&amp;ROW()&amp;"C"&amp;COLUMN()-1,FALSE)="","",((IF(OR(INDIRECT("R"&amp;ROW()&amp;"C"&amp;COLUMN()+1,FALSE)&lt;&gt;"",INDIRECT("R"&amp;ROW()&amp;"C"&amp;COLUMN()+2,FALSE)&lt;&gt;""),"　",""))))</f>
        <v/>
      </c>
      <c r="D41" s="16" t="str" cm="1">
        <f t="array" aca="1" ref="D41" ca="1">IFERROR(
  IF(
    INDEX(
    INDIRECT( "Sheet1!A" &amp; MATCH( "*折防ロング*", Sheet1!$A$15:$A$22, 0 ) + 15 )
    :Sheet1!E22,
    IFERROR(
      MATCH(
        "*折防ロング*",
        INDIRECT( "Sheet1!A" &amp; MATCH( "*折防ロング*", Sheet1!$A$15:$A$22, 0 ) + 15 )
        :Sheet1!$A$22,
        0
      ),
      ""
    ),
    ( (        ROW(
        ) - 11 ) / 30 ) + 4
    ) = "",
    "",
    IFERROR(
    INDEX(
      INDIRECT( "Sheet1!A" &amp; MATCH( "*折防ロング*", Sheet1!$A$15:$A$22, 0 ) + 15 )
      :Sheet1!E22,
      IFERROR(
        MATCH(
        "*折防ロング*",
        INDIRECT( "Sheet1!A" &amp; MATCH( "*折防ロング*", Sheet1!$A$15:$A$22, 0 ) + 15 )
        :Sheet1!$A$22,
        0
        ),
        ""
      ),
      ( (        ROW(
        ) - 11 ) / 30 ) + 4
    ) &amp; "(15時50分～21時)",
    ""
    )
  ),
  ""
)</f>
        <v/>
      </c>
      <c r="F41" s="67"/>
      <c r="J41" s="16" t="str">
        <f>IF(A41="","※折防ロング研修","")</f>
        <v>※折防ロング研修</v>
      </c>
      <c r="Z41" s="16" t="str">
        <f t="shared" si="0"/>
        <v/>
      </c>
    </row>
    <row r="42" spans="1:26">
      <c r="A42" s="18"/>
      <c r="B42" s="16" t="s">
        <v>115</v>
      </c>
      <c r="C42" s="121" t="str" cm="1">
        <f t="array" aca="1" ref="C42" ca="1">IF(INDIRECT("R"&amp;ROW()&amp;"C"&amp;COLUMN()-1,FALSE)="","",((IF(OR(INDIRECT("R"&amp;ROW()&amp;"C"&amp;COLUMN()+1,FALSE)&lt;&gt;"",INDIRECT("R"&amp;ROW()&amp;"C"&amp;COLUMN()+2,FALSE)&lt;&gt;""),"　",""))))</f>
        <v/>
      </c>
      <c r="F42" s="67"/>
      <c r="Z42" s="16" t="str">
        <f t="shared" si="0"/>
        <v/>
      </c>
    </row>
    <row r="43" spans="1:26">
      <c r="A43" s="66" t="s">
        <v>20</v>
      </c>
      <c r="B43" s="16" t="s">
        <v>6</v>
      </c>
      <c r="C43" s="121" t="str" cm="1">
        <f t="array" aca="1" ref="C43" ca="1">IF(INDIRECT("R"&amp;ROW()&amp;"C"&amp;COLUMN()-1,FALSE)="","",((IF(OR(INDIRECT("R"&amp;ROW()&amp;"C"&amp;COLUMN()+1,FALSE)&lt;&gt;"",INDIRECT("R"&amp;ROW()&amp;"C"&amp;COLUMN()+2,FALSE)&lt;&gt;""),"　",""))))</f>
        <v/>
      </c>
      <c r="Z43" s="16" t="str">
        <f t="shared" si="0"/>
        <v/>
      </c>
    </row>
    <row r="44" spans="1:26">
      <c r="A44" s="67" t="s">
        <v>217</v>
      </c>
      <c r="B44" s="16" t="str">
        <f>IF(Sheet1!H7="","",
IF(COUNTIF(Sheet1!H7,"*:*")=1,SUBSTITUTE(SUBSTITUTE(Sheet1!H7&amp;CHAR(10)&amp;"(～20:30)",CHAR(10),""),"(～20:30)","")&amp;"(～20時30分)",Sheet1!H7)
)</f>
        <v>相良 金</v>
      </c>
      <c r="C44" s="121" t="str" cm="1">
        <f t="array" aca="1" ref="C44" ca="1">IF(INDIRECT("R"&amp;ROW()&amp;"C"&amp;COLUMN()-1,FALSE)="","",((IF(OR(INDIRECT("R"&amp;ROW()&amp;"C"&amp;COLUMN()+1,FALSE)&lt;&gt;"",INDIRECT("R"&amp;ROW()&amp;"C"&amp;COLUMN()+2,FALSE)&lt;&gt;""),"　",""))))</f>
        <v/>
      </c>
      <c r="Z44" s="16" t="str">
        <f t="shared" si="0"/>
        <v/>
      </c>
    </row>
    <row r="45" spans="1:26">
      <c r="A45" s="67" t="s">
        <v>218</v>
      </c>
      <c r="B45" s="16" t="str">
        <f>IF(
  COUNTIF(
    Sheet1!E8:E11,
    "*:*"
  ) = 0,
  Sheet1!E8 &amp; "　" &amp; Sheet1!E9,
  IF(
    COUNTIF(
    Sheet1!E8:E11,
    "*:*"
    ) = 1,
    Sheet1!E8 &amp; "　" &amp;
SUBSTITUTE(
    SUBSTITUTE(
    Sheet1!E9 &amp;
    CHAR(
      10
    ) &amp; "(～20:30)",
    CHAR(
      10
    ),
    ""
    ),
    "(～20:30)",
    ""
  )
 &amp; "(～20時30分)",
    IF(
    COUNTIF(
      Sheet1!E8:E11,
      "*:*"
    ) = 2,
    SUBSTITUTE(
    SUBSTITUTE(
    Sheet1!E8 &amp;
    CHAR(
      10
    ) &amp; "(～20:30)",
    CHAR(
      10
    ),
    ""
    ),
    "(～20:30)",
    ""
  )
&amp; "(～20時30分) " &amp;
SUBSTITUTE(
    SUBSTITUTE(
    Sheet1!E9 &amp;
    CHAR(
      10
    ) &amp; "(～20:30)",
    CHAR(
      10
    ),
    ""
    ),
    "(～20:30)",
    ""
  )
 &amp; "(～20時30分)"
    )
  )
)</f>
        <v>北原 火　二瓶 火</v>
      </c>
      <c r="C45" s="121" t="str" cm="1">
        <f t="array" aca="1" ref="C45" ca="1">IF(INDIRECT("R"&amp;ROW()&amp;"C"&amp;COLUMN()-1,FALSE)="","",((IF(OR(INDIRECT("R"&amp;ROW()&amp;"C"&amp;COLUMN()+1,FALSE)&lt;&gt;"",INDIRECT("R"&amp;ROW()&amp;"C"&amp;COLUMN()+2,FALSE)&lt;&gt;""),"　",""))))</f>
        <v/>
      </c>
      <c r="Z45" s="16" t="str">
        <f t="shared" si="0"/>
        <v/>
      </c>
    </row>
    <row r="46" spans="1:26">
      <c r="A46" s="67" t="s">
        <v>219</v>
      </c>
      <c r="B46" s="16" t="str">
        <f>IF(COUNTIF(Sheet1!E8:E11,"*:*")=0, Sheet1!E10&amp;"　"&amp;Sheet1!E11, IF(COUNTIF(Sheet1!E8:E11,"*:*")=1,Sheet1!E11, IF(COUNTIF(Sheet1!E8:E11,"*:*")=2, "-")))</f>
        <v>神谷 火　三上 火</v>
      </c>
      <c r="C46" s="121" t="str" cm="1">
        <f t="array" aca="1" ref="C46" ca="1">IF(INDIRECT("R"&amp;ROW()&amp;"C"&amp;COLUMN()-1,FALSE)="","",((IF(OR(INDIRECT("R"&amp;ROW()&amp;"C"&amp;COLUMN()+1,FALSE)&lt;&gt;"",INDIRECT("R"&amp;ROW()&amp;"C"&amp;COLUMN()+2,FALSE)&lt;&gt;""),"　",""))))</f>
        <v/>
      </c>
      <c r="Z46" s="16" t="str">
        <f t="shared" si="0"/>
        <v/>
      </c>
    </row>
    <row r="47" spans="1:26">
      <c r="A47" s="67" t="str">
        <f>IF(B47&lt;&gt;"","早番研修","")</f>
        <v/>
      </c>
      <c r="B47" s="16" t="str" cm="1">
        <f t="array" ref="B47">IFERROR(IF(INDEX(Sheet1!$A$15:E22,IFERROR(MATCH("烏丸早番",Sheet1!$A$15:$A$22,0),""),((ROW()-17)/30)+4)="","",IFERROR(INDEX(Sheet1!$A$15:E22,IFERROR(MATCH("烏丸早番",Sheet1!$A$15:$A$22,0),""),((ROW()-17)/30)+4)&amp;"(17時～19時)","")),"")</f>
        <v/>
      </c>
      <c r="C47" s="121" t="str" cm="1">
        <f t="array" aca="1" ref="C47" ca="1">IF(INDIRECT("R"&amp;ROW()&amp;"C"&amp;COLUMN()-1,FALSE)="","",((IF(OR(INDIRECT("R"&amp;ROW()&amp;"C"&amp;COLUMN()+1,FALSE)&lt;&gt;"",INDIRECT("R"&amp;ROW()&amp;"C"&amp;COLUMN()+2,FALSE)&lt;&gt;""),"　",""))))</f>
        <v/>
      </c>
      <c r="D47" s="16" t="str" cm="1">
        <f t="array" aca="1" ref="D47" ca="1">IFERROR(
  IF(
    INDEX(
    INDIRECT( "Sheet1!A" &amp; MATCH( "烏丸早番", Sheet1!$A$15:$A$22, 0 ) + 15 )
    :Sheet1!E22,
    IFERROR(
      MATCH(
        "烏丸早番",
        INDIRECT( "Sheet1!A" &amp; MATCH( "烏丸早番", Sheet1!$A$15:$A$22, 0 ) + 15 )
        :Sheet1!$A$22,
        0
      ),
      ""
    ),
    ( (        ROW(
        ) - 17 ) / 30 ) + 4
    ) = "",
    "",
    IFERROR(
    INDEX(
      INDIRECT( "Sheet1!A" &amp; MATCH( "烏丸早番", Sheet1!$A$15:$A$22, 0 ) + 15 )
      :Sheet1!E22,
      IFERROR(
        MATCH(
        "烏丸早番",
        INDIRECT( "Sheet1!A" &amp; MATCH( "烏丸早番", Sheet1!$A$15:$A$22, 0 ) + 15 )
        :Sheet1!$A$22,
        0
        ),
        ""
      ),
      ( (        ROW(
        ) - 17 ) / 30 ) + 4
    ) &amp; "(17時～19時)",
    ""
    )
  ),
  ""
)</f>
        <v/>
      </c>
      <c r="J47" s="16" t="str">
        <f>IF(A47="","※烏丸早番研修","")</f>
        <v>※烏丸早番研修</v>
      </c>
      <c r="Z47" s="16" t="str">
        <f t="shared" si="0"/>
        <v/>
      </c>
    </row>
    <row r="48" spans="1:26">
      <c r="A48" s="67" t="str">
        <f>IF(B48&lt;&gt;"","遅番研修","")</f>
        <v/>
      </c>
      <c r="B48" s="16" t="str" cm="1">
        <f t="array" ref="B48">IFERROR(IF(INDEX(Sheet1!$A$15:E22,IFERROR(MATCH("*烏丸遅番*",Sheet1!$A$15:$A$22,0),""),((ROW()-18)/30)+4)="","",IFERROR(INDEX(Sheet1!$A$15:E22,IFERROR(MATCH("*烏丸遅番*",Sheet1!$A$15:$A$22,0),""),((ROW()-18)/30)+4)&amp;"(18時～20時30分)","")),"")</f>
        <v/>
      </c>
      <c r="C48" s="121" t="str" cm="1">
        <f t="array" aca="1" ref="C48" ca="1">IF(INDIRECT("R"&amp;ROW()&amp;"C"&amp;COLUMN()-1,FALSE)="","",((IF(OR(INDIRECT("R"&amp;ROW()&amp;"C"&amp;COLUMN()+1,FALSE)&lt;&gt;"",INDIRECT("R"&amp;ROW()&amp;"C"&amp;COLUMN()+2,FALSE)&lt;&gt;""),"　",""))))</f>
        <v/>
      </c>
      <c r="D48" s="16" t="str" cm="1">
        <f t="array" aca="1" ref="D48" ca="1">IFERROR(
  IF(
    INDEX(
    INDIRECT( "Sheet1!A" &amp; MATCH( "*烏丸遅番*", Sheet1!$A$15:$A$22, 0 ) + 15 )
    :Sheet1!E22,
    IFERROR(
      MATCH(
        "*烏丸遅番*",
        INDIRECT( "Sheet1!A" &amp; MATCH( "*烏丸遅番*", Sheet1!$A$15:$A$22, 0 ) + 15 )
        :Sheet1!$A$22,
        0
      ),
      ""
    ),
    ( (        ROW(
        ) - 18 ) / 30 ) + 4
    ) = "",
    "",
    IFERROR(
    INDEX(
      INDIRECT( "Sheet1!A" &amp; MATCH( "*烏丸遅番*", Sheet1!$A$15:$A$22, 0 ) + 15 )
      :Sheet1!E22,
      IFERROR(
        MATCH(
        "*烏丸遅番*",
        INDIRECT( "Sheet1!A" &amp; MATCH( "*烏丸遅番*", Sheet1!$A$15:$A$22, 0 ) + 15 )
        :Sheet1!$A$22,
        0
        ),
        ""
      ),
      ( (        ROW(
        ) - 18 ) / 30 ) + 4
    ) &amp; "(18時～20時30分)",
    ""
    )
  ),
  ""
)</f>
        <v/>
      </c>
      <c r="J48" s="16" t="str">
        <f>IF(A48="","※烏丸遅番研修","")</f>
        <v>※烏丸遅番研修</v>
      </c>
      <c r="Z48" s="16" t="str">
        <f t="shared" si="0"/>
        <v/>
      </c>
    </row>
    <row r="49" spans="1:26">
      <c r="A49" s="67" t="str">
        <f>IF(B49&lt;&gt;"","早番ロング研修","")</f>
        <v/>
      </c>
      <c r="B49" s="16" t="str" cm="1">
        <f t="array" ref="B49">IF(AND(COUNTIF(Sheet1!$A$15:$A$22,"烏丸早番ロング")&gt;0,COUNTIF(Sheet1!$A$15:$A$22,"烏丸ロング")&gt;0)=TRUE,"エラー！
Sheet1の見習欄の駅名を統一してください",
IF(IFERROR(IFERROR(INDEX(Sheet1!$A$15:E22,IFERROR(MATCH("烏丸早番ロング",Sheet1!$A$15:$A$22,0),""),((ROW()-17)/30)+4),INDEX(Sheet1!$A$15:E22,IFERROR(MATCH("烏丸ロング",Sheet1!$A$15:$A$22,0),""),((ROW()-19)/30)+4)),"")&lt;&gt;"",
IFERROR(IFERROR(INDEX(Sheet1!$A$15:E22,IFERROR(MATCH("烏丸早番ロング",Sheet1!$A$15:$A$22,0),""),((ROW()-17)/30)+4),INDEX(Sheet1!$A$15:E22,IFERROR(MATCH("烏丸ロング",Sheet1!$A$15:$A$22,0),""),((ROW()-19)/30)+4)),"")&amp;"(17時～20時30分)",""))</f>
        <v/>
      </c>
      <c r="C49" s="121" t="str" cm="1">
        <f t="array" aca="1" ref="C49" ca="1">IF(INDIRECT("R"&amp;ROW()&amp;"C"&amp;COLUMN()-1,FALSE)="","",((IF(OR(INDIRECT("R"&amp;ROW()&amp;"C"&amp;COLUMN()+1,FALSE)&lt;&gt;"",INDIRECT("R"&amp;ROW()&amp;"C"&amp;COLUMN()+2,FALSE)&lt;&gt;""),"　",""))))</f>
        <v/>
      </c>
      <c r="D49" s="122" t="str" cm="1">
        <f t="array" aca="1" ref="D49" ca="1">IF(AND(COUNTIF(Sheet1!$A$15:$A$22,"烏丸早番ロング")&gt;0,COUNTIF(Sheet1!$A$15:$A$22,"烏丸ロング")&gt;0)=TRUE,"エラー！Sheet1の見習欄の駅名を統一してください",IF(
IFERROR(
IFERROR(
INDEX(
INDIRECT("Sheet1!A"&amp;MATCH("烏丸早番ロング",Sheet1!$A$15:$A$22,0)+15)
:Sheet1!E22,
IFERROR(
MATCH(
"烏丸早番ロング",
INDIRECT("Sheet1!A"&amp;MATCH("烏丸早番ロング",Sheet1!$A$15:$A$22,0)+15)
:Sheet1!$A$22,
0
),
""
),
((ROW(
)-19)/30)+4
),
INDEX(
INDIRECT("Sheet1!A"&amp;MATCH("烏丸早番ロング",Sheet1!$A$15:$A$22,0)+15)
:Sheet1!E22,
IFERROR(
MATCH(
"烏丸ロング",
INDIRECT("Sheet1!A"&amp;MATCH("烏丸早番ロング",Sheet1!$A$15:$A$22,0)+15)
:Sheet1!$A$22,
0
),
""
),
((ROW(
)-19)/30)+4
)
),
""
)&lt;&gt;"",
IFERROR(
IFERROR(
INDEX(
INDIRECT("Sheet1!A"&amp;MATCH("烏丸早番ロング",Sheet1!$A$15:$A$22,0)+15)
:Sheet1!E22,
IFERROR(
MATCH(
"烏丸早番ロング",
INDIRECT("Sheet1!A"&amp;MATCH("烏丸早番ロング",Sheet1!$A$15:$A$22,0)+15)
:Sheet1!$A$22,
0
),
""
),
((ROW(
)-19)/30)+4
),
INDEX(
INDIRECT("Sheet1!A"&amp;MATCH("烏丸早番ロング",Sheet1!$A$15:$A$22,0)+15)
:Sheet1!E22,
IFERROR(
MATCH(
"烏丸ロング",
INDIRECT("Sheet1!A"&amp;MATCH("烏丸早番ロング",Sheet1!$A$15:$A$22,0)+15)
:Sheet1!$A$22,
0
),
""
),
((ROW(
)-19)/30)+4
)
),
""
)&amp;"(17時～20時30分)",
""
))</f>
        <v/>
      </c>
      <c r="E49" s="16" t="str" cm="1">
        <f t="array" aca="1" ref="E49" ca="1">IF(AND(COUNTIF(Sheet1!$A$15:$A$22,"烏丸早番ロング")&gt;0,COUNTIF(Sheet1!$A$15:$A$22,"烏丸ロング")&gt;0)=TRUE,"エラー！
Sheet1の見習欄の駅名を統一してください",
IFERROR(
  IF(
    INDEX(
    INDIRECT( "Sheet1!A" &amp; MATCH( "*烏丸ロング*", Sheet1!$A$15:$A$22, 0 ) + 15 )
    :Sheet1!E22,
    IFERROR(
      MATCH(
        "*烏丸ロング*",
        INDIRECT( "Sheet1!A" &amp; MATCH( "*烏丸ロング*", Sheet1!$A$15:$A$22, 0 ) + 15 )
        :Sheet1!$A$22,
        0
      ),
      ""
    ),
    ( (        ROW(
        ) - 18 ) / 30 ) + 4
    ) = "",
    "",
    IFERROR(
    INDEX(
      INDIRECT( "Sheet1!A" &amp; MATCH( "*烏丸ロング*", Sheet1!$A$15:$A$22, 0 ) + 15 )
      :Sheet1!E22,
      IFERROR(
        MATCH(
        "*烏丸ロング*",
        INDIRECT( "Sheet1!A" &amp; MATCH( "*烏丸ロング*", Sheet1!$A$15:$A$22, 0 ) + 15 )
        :Sheet1!$A$22,
        0
        ),
        ""
      ),
      ( (        ROW(
        ) - 18 ) / 30 ) + 4
    ) &amp; "(17時～20時30分)",
    ""
    )
  ),
  ""
))</f>
        <v/>
      </c>
      <c r="J49" s="16" t="str">
        <f>IF(A49="","※烏丸早番ロング研修","")</f>
        <v>※烏丸早番ロング研修</v>
      </c>
      <c r="Z49" s="16" t="str">
        <f t="shared" si="0"/>
        <v/>
      </c>
    </row>
    <row r="50" spans="1:26">
      <c r="A50" s="67"/>
      <c r="B50" s="16" t="s">
        <v>115</v>
      </c>
      <c r="C50" s="121" t="str" cm="1">
        <f t="array" aca="1" ref="C50" ca="1">IF(INDIRECT("R"&amp;ROW()&amp;"C"&amp;COLUMN()-1,FALSE)="","",((IF(OR(INDIRECT("R"&amp;ROW()&amp;"C"&amp;COLUMN()+1,FALSE)&lt;&gt;"",INDIRECT("R"&amp;ROW()&amp;"C"&amp;COLUMN()+2,FALSE)&lt;&gt;""),"　",""))))</f>
        <v/>
      </c>
      <c r="D50" s="122"/>
      <c r="Z50" s="16" t="str">
        <f t="shared" si="0"/>
        <v/>
      </c>
    </row>
    <row r="51" spans="1:26">
      <c r="A51" s="66" t="s">
        <v>21</v>
      </c>
      <c r="B51" s="16" t="s">
        <v>6</v>
      </c>
      <c r="C51" s="121" t="str" cm="1">
        <f t="array" aca="1" ref="C51" ca="1">IF(INDIRECT("R"&amp;ROW()&amp;"C"&amp;COLUMN()-1,FALSE)="","",((IF(OR(INDIRECT("R"&amp;ROW()&amp;"C"&amp;COLUMN()+1,FALSE)&lt;&gt;"",INDIRECT("R"&amp;ROW()&amp;"C"&amp;COLUMN()+2,FALSE)&lt;&gt;""),"　",""))))</f>
        <v/>
      </c>
      <c r="Z51" s="16" t="str">
        <f t="shared" si="0"/>
        <v/>
      </c>
    </row>
    <row r="52" spans="1:26">
      <c r="A52" s="67" t="s">
        <v>211</v>
      </c>
      <c r="B52" s="16" t="str">
        <f>IF(Sheet1!E12&lt;&gt;"",Sheet1!E12,"")</f>
        <v>五味 火</v>
      </c>
      <c r="C52" s="121" t="str" cm="1">
        <f t="array" aca="1" ref="C52" ca="1">IF(INDIRECT("R"&amp;ROW()&amp;"C"&amp;COLUMN()-1,FALSE)="","",((IF(OR(INDIRECT("R"&amp;ROW()&amp;"C"&amp;COLUMN()+1,FALSE)&lt;&gt;"",INDIRECT("R"&amp;ROW()&amp;"C"&amp;COLUMN()+2,FALSE)&lt;&gt;""),"　",""))))</f>
        <v/>
      </c>
      <c r="Z52" s="16" t="str">
        <f t="shared" si="0"/>
        <v/>
      </c>
    </row>
    <row r="53" spans="1:26">
      <c r="A53" s="67" t="str">
        <f>IF(B53&lt;&gt;"","大宮上り研修","")</f>
        <v/>
      </c>
      <c r="B53" s="16" t="str" cm="1">
        <f t="array" ref="B53">IFERROR(IF(INDEX(Sheet1!$A$15:E22,IFERROR(MATCH("*大宮*",Sheet1!$A$15:$A$22,0),""),((ROW()-23)/30)+4)="","",IFERROR(INDEX(Sheet1!$A$15:E22,IFERROR(MATCH("*大宮*",Sheet1!$A$15:$A$22,0),""),((ROW()-23)/30)+4)&amp;"(17時30分～19時30分)","")),"")</f>
        <v/>
      </c>
      <c r="C53" s="121" t="str" cm="1">
        <f t="array" aca="1" ref="C53" ca="1">IF(INDIRECT("R"&amp;ROW()&amp;"C"&amp;COLUMN()-1,FALSE)="","",((IF(OR(INDIRECT("R"&amp;ROW()&amp;"C"&amp;COLUMN()+1,FALSE)&lt;&gt;"",INDIRECT("R"&amp;ROW()&amp;"C"&amp;COLUMN()+2,FALSE)&lt;&gt;""),"　",""))))</f>
        <v/>
      </c>
      <c r="D53" s="16" t="str" cm="1">
        <f t="array" aca="1" ref="D53" ca="1">IFERROR(
  IF(
    INDEX(
    INDIRECT( "Sheet1!A" &amp; MATCH( "*大宮*", Sheet1!$A$15:$A$22, 0 ) + 15 )
    :Sheet1!E22,
    IFERROR(
      MATCH(
        "*大宮*",
        INDIRECT( "Sheet1!A" &amp; MATCH( "*大宮*", Sheet1!$A$15:$A$22, 0 ) + 15 )
        :Sheet1!$A$22,
        0
      ),
      ""
    ),
    ( (        ROW(
        ) - 23 ) / 30 ) + 4
    ) = "",
    "",
    IFERROR(
    INDEX(
      INDIRECT( "Sheet1!A" &amp; MATCH( "*大宮*", Sheet1!$A$15:$A$22, 0 ) + 15 )
      :Sheet1!E22,
      IFERROR(
        MATCH(
        "*大宮*",
        INDIRECT( "Sheet1!A" &amp; MATCH( "*大宮*", Sheet1!$A$15:$A$22, 0 ) + 15 )
        :Sheet1!$A$22,
        0
        ),
        ""
      ),
      ( (        ROW(
        ) - 23 ) / 30 ) + 4
    ) &amp; "(17時30分～19時30分)",
    ""
    )
  ),
  ""
)</f>
        <v/>
      </c>
      <c r="J53" s="16" t="str">
        <f>IF(A53="","※大宮上り研修","")</f>
        <v>※大宮上り研修</v>
      </c>
      <c r="Z53" s="16" t="str">
        <f t="shared" si="0"/>
        <v/>
      </c>
    </row>
    <row r="54" spans="1:26">
      <c r="A54" s="67"/>
      <c r="B54" s="16" t="s">
        <v>115</v>
      </c>
      <c r="C54" s="121" t="str" cm="1">
        <f t="array" aca="1" ref="C54" ca="1">IF(INDIRECT("R"&amp;ROW()&amp;"C"&amp;COLUMN()-1,FALSE)="","",((IF(OR(INDIRECT("R"&amp;ROW()&amp;"C"&amp;COLUMN()+1,FALSE)&lt;&gt;"",INDIRECT("R"&amp;ROW()&amp;"C"&amp;COLUMN()+2,FALSE)&lt;&gt;""),"　",""))))</f>
        <v/>
      </c>
      <c r="Z54" s="16" t="str">
        <f t="shared" si="0"/>
        <v/>
      </c>
    </row>
    <row r="55" spans="1:26">
      <c r="A55" s="66" t="s">
        <v>22</v>
      </c>
      <c r="B55" s="16" t="s">
        <v>6</v>
      </c>
      <c r="C55" s="121" t="str" cm="1">
        <f t="array" aca="1" ref="C55" ca="1">IF(INDIRECT("R"&amp;ROW()&amp;"C"&amp;COLUMN()-1,FALSE)="","",((IF(OR(INDIRECT("R"&amp;ROW()&amp;"C"&amp;COLUMN()+1,FALSE)&lt;&gt;"",INDIRECT("R"&amp;ROW()&amp;"C"&amp;COLUMN()+2,FALSE)&lt;&gt;""),"　",""))))</f>
        <v/>
      </c>
      <c r="Z55" s="16" t="str">
        <f t="shared" si="0"/>
        <v/>
      </c>
    </row>
    <row r="56" spans="1:26">
      <c r="A56" s="67" t="s">
        <v>212</v>
      </c>
      <c r="B56" s="16" t="str">
        <f>IF(Sheet1!E13&lt;&gt;"",Sheet1!E13,"")</f>
        <v>片野 火</v>
      </c>
      <c r="C56" s="121" t="str" cm="1">
        <f t="array" aca="1" ref="C56" ca="1">IF(INDIRECT("R"&amp;ROW()&amp;"C"&amp;COLUMN()-1,FALSE)="","",((IF(OR(INDIRECT("R"&amp;ROW()&amp;"C"&amp;COLUMN()+1,FALSE)&lt;&gt;"",INDIRECT("R"&amp;ROW()&amp;"C"&amp;COLUMN()+2,FALSE)&lt;&gt;""),"　",""))))</f>
        <v/>
      </c>
      <c r="Z56" s="16" t="str">
        <f t="shared" si="0"/>
        <v/>
      </c>
    </row>
    <row r="57" spans="1:26">
      <c r="A57" s="67"/>
      <c r="B57" s="16" t="s">
        <v>115</v>
      </c>
      <c r="C57" s="121" t="str" cm="1">
        <f t="array" aca="1" ref="C57" ca="1">IF(INDIRECT("R"&amp;ROW()&amp;"C"&amp;COLUMN()-1,FALSE)="","",((IF(OR(INDIRECT("R"&amp;ROW()&amp;"C"&amp;COLUMN()+1,FALSE)&lt;&gt;"",INDIRECT("R"&amp;ROW()&amp;"C"&amp;COLUMN()+2,FALSE)&lt;&gt;""),"　",""))))</f>
        <v/>
      </c>
      <c r="Z57" s="16" t="str">
        <f t="shared" si="0"/>
        <v/>
      </c>
    </row>
    <row r="58" spans="1:26">
      <c r="A58" s="66" t="s">
        <v>23</v>
      </c>
      <c r="B58" s="16" t="s">
        <v>6</v>
      </c>
      <c r="C58" s="121" t="str" cm="1">
        <f t="array" aca="1" ref="C58" ca="1">IF(INDIRECT("R"&amp;ROW()&amp;"C"&amp;COLUMN()-1,FALSE)="","",((IF(OR(INDIRECT("R"&amp;ROW()&amp;"C"&amp;COLUMN()+1,FALSE)&lt;&gt;"",INDIRECT("R"&amp;ROW()&amp;"C"&amp;COLUMN()+2,FALSE)&lt;&gt;""),"　",""))))</f>
        <v/>
      </c>
      <c r="Z58" s="16" t="str">
        <f t="shared" si="0"/>
        <v/>
      </c>
    </row>
    <row r="59" spans="1:26">
      <c r="A59" s="67" t="s">
        <v>211</v>
      </c>
      <c r="B59" s="16" t="str">
        <f>IF(Sheet1!E14&lt;&gt;"",Sheet1!E14,"")</f>
        <v>菅原 火</v>
      </c>
      <c r="C59" s="121" t="str" cm="1">
        <f t="array" aca="1" ref="C59" ca="1">IF(INDIRECT("R"&amp;ROW()&amp;"C"&amp;COLUMN()-1,FALSE)="","",((IF(OR(INDIRECT("R"&amp;ROW()&amp;"C"&amp;COLUMN()+1,FALSE)&lt;&gt;"",INDIRECT("R"&amp;ROW()&amp;"C"&amp;COLUMN()+2,FALSE)&lt;&gt;""),"　",""))))</f>
        <v/>
      </c>
      <c r="Z59" s="16" t="str">
        <f t="shared" si="0"/>
        <v/>
      </c>
    </row>
    <row r="60" spans="1:26">
      <c r="B60" s="16" t="s">
        <v>6</v>
      </c>
      <c r="C60" s="121" t="str" cm="1">
        <f t="array" aca="1" ref="C60" ca="1">IF(INDIRECT("R"&amp;ROW()&amp;"C"&amp;COLUMN()-1,FALSE)="","",((IF(OR(INDIRECT("R"&amp;ROW()&amp;"C"&amp;COLUMN()+1,FALSE)&lt;&gt;"",INDIRECT("R"&amp;ROW()&amp;"C"&amp;COLUMN()+2,FALSE)&lt;&gt;""),"　",""))))</f>
        <v/>
      </c>
      <c r="Z60" s="16" t="str">
        <f t="shared" si="0"/>
        <v/>
      </c>
    </row>
    <row r="61" spans="1:26">
      <c r="A61" s="2" t="s">
        <v>213</v>
      </c>
      <c r="B61" s="16" t="str">
        <f>IF(COUNTIF(データ処理部!$E$15:$E$38,"")=0,"",
IFERROR(INDEX(db!$G$4:$H$27,MATCH(SMALL(db!$G$4:$H$27,COLUMN()-1),db!$H$4:$H$27,0),1)&amp;"　",""))</f>
        <v/>
      </c>
      <c r="C61" s="16" t="str">
        <f>IF(COUNTIF(データ処理部!$E$15:$E$38,"")=0,"",
IFERROR(INDEX(db!$G$4:$H$27,MATCH(SMALL(db!$G$4:$H$27,COLUMN()-1),db!$H$4:$H$27,0),1)&amp;"　",""))</f>
        <v/>
      </c>
      <c r="D61" s="16" t="str">
        <f>IF(COUNTIF(データ処理部!$E$15:$E$38,"")=0,"",
IFERROR(INDEX(db!$G$4:$H$27,MATCH(SMALL(db!$G$4:$H$27,COLUMN()-1),db!$H$4:$H$27,0),1)&amp;"　",""))</f>
        <v/>
      </c>
      <c r="E61" s="16" t="str">
        <f>IF(COUNTIF(データ処理部!$E$15:$E$38,"")=0,"",
IFERROR(INDEX(db!$G$4:$H$27,MATCH(SMALL(db!$G$4:$H$27,COLUMN()-1),db!$H$4:$H$27,0),1)&amp;"　",""))</f>
        <v/>
      </c>
      <c r="F61" s="16" t="str">
        <f>IF(COUNTIF(データ処理部!$E$15:$E$38,"")=0,"",
IFERROR(INDEX(db!$G$4:$H$27,MATCH(SMALL(db!$G$4:$H$27,COLUMN()-1),db!$H$4:$H$27,0),1)&amp;"　",""))</f>
        <v/>
      </c>
      <c r="G61" s="16" t="str">
        <f>IF(COUNTIF(データ処理部!$E$15:$E$38,"")=0,"",
IFERROR(INDEX(db!$G$4:$H$27,MATCH(SMALL(db!$G$4:$H$27,COLUMN()-1),db!$H$4:$H$27,0),1)&amp;"　",""))</f>
        <v/>
      </c>
      <c r="H61" s="16" t="str">
        <f>IF(COUNTIF(データ処理部!$E$15:$E$38,"")=0,"",
IFERROR(INDEX(db!$G$4:$H$27,MATCH(SMALL(db!$G$4:$H$27,COLUMN()-1),db!$H$4:$H$27,0),1)&amp;"　",""))</f>
        <v/>
      </c>
      <c r="I61" s="16" t="str">
        <f>IF(COUNTIF(データ処理部!$E$15:$E$38,"")=0,"",
IFERROR(INDEX(db!$G$4:$H$27,MATCH(SMALL(db!$G$4:$H$27,COLUMN()-1),db!$H$4:$H$27,0),1)&amp;"　",""))</f>
        <v/>
      </c>
      <c r="J61" s="16" t="str">
        <f>IF(COUNTIF(データ処理部!$E$15:$E$38,"")=0,"",
IFERROR(INDEX(db!$G$4:$H$27,MATCH(SMALL(db!$G$4:$H$27,COLUMN()-1),db!$H$4:$H$27,0),1)&amp;"　",""))</f>
        <v/>
      </c>
      <c r="K61" s="16" t="str">
        <f>IF(COUNTIF(データ処理部!$E$15:$E$38,"")=0,"",
IFERROR(INDEX(db!$G$4:$H$27,MATCH(SMALL(db!$G$4:$H$27,COLUMN()-1),db!$H$4:$H$27,0),1)&amp;"　",""))</f>
        <v/>
      </c>
      <c r="L61" s="16" t="str">
        <f>IF(COUNTIF(データ処理部!$E$15:$E$38,"")=0,"",
IFERROR(INDEX(db!$G$4:$H$27,MATCH(SMALL(db!$G$4:$H$27,COLUMN()-1),db!$H$4:$H$27,0),1)&amp;"　",""))</f>
        <v/>
      </c>
      <c r="M61" s="16" t="str">
        <f>IF(COUNTIF(データ処理部!$E$15:$E$38,"")=0,"",
IFERROR(INDEX(db!$G$4:$H$27,MATCH(SMALL(db!$G$4:$H$27,COLUMN()-1),db!$H$4:$H$27,0),1)&amp;"　",""))</f>
        <v/>
      </c>
      <c r="N61" s="16" t="str">
        <f>IF(COUNTIF(データ処理部!$E$15:$E$38,"")=0,"",
IFERROR(INDEX(db!$G$4:$H$27,MATCH(SMALL(db!$G$4:$H$27,COLUMN()-1),db!$H$4:$H$27,0),1)&amp;"　",""))</f>
        <v/>
      </c>
      <c r="O61" s="16" t="str">
        <f>IF(COUNTIF(データ処理部!$E$15:$E$38,"")=0,"",
IFERROR(INDEX(db!$G$4:$H$27,MATCH(SMALL(db!$G$4:$H$27,COLUMN()-1),db!$H$4:$H$27,0),1)&amp;"　",""))</f>
        <v/>
      </c>
      <c r="P61" s="16" t="str">
        <f>IF(COUNTIF(データ処理部!$E$15:$E$38,"")=0,"",
IFERROR(INDEX(db!$G$4:$H$27,MATCH(SMALL(db!$G$4:$H$27,COLUMN()-1),db!$H$4:$H$27,0),1)&amp;"　",""))</f>
        <v/>
      </c>
      <c r="Q61" s="16" t="str">
        <f>IF(COUNTIF(データ処理部!$E$15:$E$38,"")=0,"",
IFERROR(INDEX(db!$G$4:$H$27,MATCH(SMALL(db!$G$4:$H$27,COLUMN()-1),db!$H$4:$H$27,0),1)&amp;"　",""))</f>
        <v/>
      </c>
      <c r="R61" s="16" t="str">
        <f>IF(COUNTIF(データ処理部!$E$15:$E$38,"")=0,"",
IFERROR(INDEX(db!$G$4:$H$27,MATCH(SMALL(db!$G$4:$H$27,COLUMN()-1),db!$H$4:$H$27,0),1)&amp;"　",""))</f>
        <v/>
      </c>
      <c r="S61" s="16" t="str">
        <f>IF(COUNTIF(データ処理部!$E$15:$E$38,"")=0,"",
IFERROR(INDEX(db!$G$4:$H$27,MATCH(SMALL(db!$G$4:$H$27,COLUMN()-1),db!$H$4:$H$27,0),1)&amp;"　",""))</f>
        <v/>
      </c>
      <c r="T61" s="16" t="str">
        <f>IF(COUNTIF(データ処理部!$E$15:$E$38,"")=0,"",
IFERROR(INDEX(db!$G$4:$H$27,MATCH(SMALL(db!$G$4:$H$27,COLUMN()-1),db!$H$4:$H$27,0),1)&amp;"　",""))</f>
        <v/>
      </c>
      <c r="U61" s="16" t="str">
        <f>IF(COUNTIF(データ処理部!$E$15:$E$38,"")=0,"",
IFERROR(INDEX(db!$G$4:$H$27,MATCH(SMALL(db!$G$4:$H$27,COLUMN()-1),db!$H$4:$H$27,0),1)&amp;"　",""))</f>
        <v/>
      </c>
      <c r="V61" s="16" t="str">
        <f>IF(COUNTIF(データ処理部!$E$15:$E$38,"")=0,"",
IFERROR(INDEX(db!$G$4:$H$27,MATCH(SMALL(db!$G$4:$H$27,COLUMN()-1),db!$H$4:$H$27,0),1)&amp;"　",""))</f>
        <v/>
      </c>
      <c r="W61" s="16" t="str">
        <f>IF(COUNTIF(データ処理部!$E$15:$E$38,"")=0,"",
IFERROR(INDEX(db!$G$4:$H$27,MATCH(SMALL(db!$G$4:$H$27,COLUMN()-1),db!$H$4:$H$27,0),1)&amp;"　",""))</f>
        <v/>
      </c>
      <c r="X61" s="16" t="str">
        <f>IF(COUNTIF(データ処理部!$E$15:$E$38,"")=0,"",
IFERROR(INDEX(db!$G$4:$H$27,MATCH(SMALL(db!$G$4:$H$27,COLUMN()-1),db!$H$4:$H$27,0),1)&amp;"　",""))</f>
        <v/>
      </c>
      <c r="Y61" s="16" t="str">
        <f>IF(COUNTIF(データ処理部!$E$15:$E$38,"")=0,"",
IFERROR(INDEX(db!$G$4:$H$27,MATCH(SMALL(db!$G$4:$H$27,COLUMN()-1),db!$H$4:$H$27,0),1)&amp;"　",""))</f>
        <v/>
      </c>
      <c r="Z61" s="16" t="str">
        <f t="shared" si="0"/>
        <v/>
      </c>
    </row>
    <row r="62" spans="1:26">
      <c r="A62" s="66"/>
      <c r="B62" s="19" t="s">
        <v>6</v>
      </c>
      <c r="Z62" s="16" t="str">
        <f t="shared" si="0"/>
        <v/>
      </c>
    </row>
    <row r="63" spans="1:26">
      <c r="A63" s="118">
        <f>A33+1</f>
        <v>44265</v>
      </c>
      <c r="B63" s="16" t="s">
        <v>6</v>
      </c>
      <c r="Z63" s="16" t="str">
        <f t="shared" si="0"/>
        <v/>
      </c>
    </row>
    <row r="64" spans="1:26">
      <c r="A64" s="66" t="s">
        <v>19</v>
      </c>
      <c r="B64" s="19" t="s">
        <v>6</v>
      </c>
      <c r="Z64" s="16" t="str">
        <f t="shared" si="0"/>
        <v/>
      </c>
    </row>
    <row r="65" spans="1:26">
      <c r="A65" s="18" t="s">
        <v>112</v>
      </c>
      <c r="B65" s="19" t="str">
        <f>IF(Sheet1!F2&lt;&gt;"",Sheet1!F2,"")</f>
        <v>塚原 水</v>
      </c>
      <c r="C65" s="19" t="str" cm="1">
        <f t="array" aca="1" ref="C65" ca="1">IF(INDIRECT("R"&amp;ROW()&amp;"C"&amp;COLUMN()-1,FALSE)="","",((IF(OR(INDIRECT("R"&amp;ROW()&amp;"C"&amp;COLUMN()+1,FALSE)&lt;&gt;"",INDIRECT("R"&amp;ROW()&amp;"C"&amp;COLUMN()+2,FALSE)&lt;&gt;""),"　",""))))</f>
        <v/>
      </c>
      <c r="Z65" s="16" t="str">
        <f t="shared" ref="Z65:Z90" si="1">IF(A65="★年休","←ここまで","")</f>
        <v/>
      </c>
    </row>
    <row r="66" spans="1:26">
      <c r="A66" s="18" t="str">
        <f>IF(B66&lt;&gt;"","操車研修　","")</f>
        <v/>
      </c>
      <c r="B66" s="19" t="str" cm="1">
        <f t="array" ref="B66">IFERROR( IF( INDEX( Sheet1!$A$15:F22, IFERROR( MATCH( "*操車*", Sheet1!$A$15:$A$22, 0 ), "" ), ((ROW()-6)/30)+4 ) = "", "", IFERROR( INDEX( Sheet1!$A$15:F22, IFERROR( MATCH( "*操車*", Sheet1!$A$15:$A$22, 0 ), "" ), ((ROW()-6)/30)+4 ) &amp; "(14時～20時)", "" ) ), "" )</f>
        <v/>
      </c>
      <c r="C66" s="19" t="str" cm="1">
        <f t="array" aca="1" ref="C66" ca="1">IF(INDIRECT("R"&amp;ROW()&amp;"C"&amp;COLUMN()-1,FALSE)="","",((IF(OR(INDIRECT("R"&amp;ROW()&amp;"C"&amp;COLUMN()+1,FALSE)&lt;&gt;"",INDIRECT("R"&amp;ROW()&amp;"C"&amp;COLUMN()+2,FALSE)&lt;&gt;""),"　",""))))</f>
        <v/>
      </c>
      <c r="D66" s="16" t="str" cm="1">
        <f t="array" aca="1" ref="D66" ca="1">IFERROR(
  IF(
    INDEX(
    INDIRECT( "Sheet1!A" &amp; MATCH( "*操車*", Sheet1!$A$15:$A$22, 0 ) + 15 )
    :Sheet1!F22,
    IFERROR(
      MATCH(
        "*操車*",
        INDIRECT( "Sheet1!A" &amp; MATCH( "*操車*", Sheet1!$A$15:$A$22, 0 ) + 15 )
        :Sheet1!$A$22,
        0
      ),
      ""
    ),
    ( (        ROW(
        ) - 6 ) / 30 ) + 4
    ) = "",
    "",
    IFERROR(
    INDEX(
      INDIRECT( "Sheet1!A" &amp; MATCH( "*操車*", Sheet1!$A$15:$A$22, 0 ) + 15 )
      :Sheet1!F22,
      IFERROR(
        MATCH(
        "*操車*",
        INDIRECT( "Sheet1!A" &amp; MATCH( "*操車*", Sheet1!$A$15:$A$22, 0 ) + 15 )
        :Sheet1!$A$22,
        0
        ),
        ""
      ),
      ( (        ROW(
        ) - 6 ) / 30 ) + 4
    ) &amp; "(14時～20時)",
    ""
    )
  ),
  ""
)</f>
        <v/>
      </c>
      <c r="J66" s="16" t="str">
        <f>IF(A66="","※操車研修","")</f>
        <v>※操車研修</v>
      </c>
      <c r="Z66" s="16" t="str">
        <f t="shared" si="1"/>
        <v/>
      </c>
    </row>
    <row r="67" spans="1:26">
      <c r="A67" s="18" t="s">
        <v>113</v>
      </c>
      <c r="B67" s="19" t="str">
        <f>IF( COUNTIF( Sheet1!F3:F6, "*:*" )=0, Sheet1!F3&amp;"　"&amp;Sheet1!F4, IF( COUNTIF( Sheet1!F3:F6, "*:*" )=1, Sheet1!F3&amp;" "&amp;Sheet1!F4&amp;"(～21時)", IF( COUNTIF( Sheet1!F3:F6, "*:*" )=2, SUBSTITUTE(SUBSTITUTE(Sheet1!F3&amp;CHAR(10)&amp;"(～21:00)",CHAR(10),""),"(～21:00)","")&amp;"(～21時) "&amp;"　"&amp;SUBSTITUTE(SUBSTITUTE(Sheet1!F4&amp;CHAR(10)&amp;"(～21:00)",CHAR(10),""),"(～21:00)","")&amp;"(～21時)" ) ) )</f>
        <v>土田 水　菅井 水</v>
      </c>
      <c r="C67" s="19" t="str" cm="1">
        <f t="array" aca="1" ref="C67" ca="1">IF(INDIRECT("R"&amp;ROW()&amp;"C"&amp;COLUMN()-1,FALSE)="","",((IF(OR(INDIRECT("R"&amp;ROW()&amp;"C"&amp;COLUMN()+1,FALSE)&lt;&gt;"",INDIRECT("R"&amp;ROW()&amp;"C"&amp;COLUMN()+2,FALSE)&lt;&gt;""),"　",""))))</f>
        <v/>
      </c>
      <c r="F67" s="117"/>
      <c r="Z67" s="16" t="str">
        <f t="shared" si="1"/>
        <v/>
      </c>
    </row>
    <row r="68" spans="1:26">
      <c r="A68" s="18" t="s">
        <v>114</v>
      </c>
      <c r="B68" s="19" t="str">
        <f>IF(COUNTIF(Sheet1!F3:F6,"*:*")=0, Sheet1!F5&amp;"　"&amp;Sheet1!F6, IF(COUNTIF(Sheet1!F3:F6,"*:*")=1, Sheet1!F6, IF(COUNTIF(Sheet1!F3:F6,"*:*")=2, "-")))</f>
        <v>三谷 水　黒木 水</v>
      </c>
      <c r="C68" s="19" t="str" cm="1">
        <f t="array" aca="1" ref="C68" ca="1">IF(INDIRECT("R"&amp;ROW()&amp;"C"&amp;COLUMN()-1,FALSE)="","",((IF(OR(INDIRECT("R"&amp;ROW()&amp;"C"&amp;COLUMN()+1,FALSE)&lt;&gt;"",INDIRECT("R"&amp;ROW()&amp;"C"&amp;COLUMN()+2,FALSE)&lt;&gt;""),"　",""))))</f>
        <v/>
      </c>
      <c r="Z68" s="16" t="str">
        <f t="shared" si="1"/>
        <v/>
      </c>
    </row>
    <row r="69" spans="1:26">
      <c r="A69" s="18" t="str">
        <f>IF(B69&lt;&gt;"","折早研修　","")</f>
        <v/>
      </c>
      <c r="B69" s="16" t="str" cm="1">
        <f t="array" ref="B69">IF(AND(COUNTIF(Sheet1!$A$15:$A$22,"*折防早番*")&gt;0,COUNTIF(Sheet1!$A$15:$A$22,"*折早*")&gt;0)=TRUE,"エラー！
Sheet1の見習欄の駅名を統一してください",
IFERROR(IF(INDEX(Sheet1!$A$15:F22,IFERROR(IFERROR(MATCH("*折防早番*",Sheet1!$A$15:$A$22,0),MATCH("*折早*",Sheet1!$A$15:$A$22,0)),""),((ROW()-9)/30)+4)="","",IFERROR(INDEX(Sheet1!$A$15:F22,IFERROR(IFERROR(MATCH("*折防早番*",Sheet1!$A$15:$A$22,0),MATCH("*折早*",Sheet1!$A$15:$A$22,0)),""),((ROW()-9)/30)+4)&amp;"(15時50分～19時)","")),"")
)</f>
        <v/>
      </c>
      <c r="C69" s="19" t="str" cm="1">
        <f t="array" aca="1" ref="C69" ca="1">IF(INDIRECT("R"&amp;ROW()&amp;"C"&amp;COLUMN()-1,FALSE)="","",((IF(OR(INDIRECT("R"&amp;ROW()&amp;"C"&amp;COLUMN()+1,FALSE)&lt;&gt;"",INDIRECT("R"&amp;ROW()&amp;"C"&amp;COLUMN()+2,FALSE)&lt;&gt;""),"　",""))))</f>
        <v/>
      </c>
      <c r="D69" s="16" t="str" cm="1">
        <f t="array" aca="1" ref="D69" ca="1">IF(AND(COUNTIF(Sheet1!$A$15:$A$22,"*折防早番*")&gt;0,COUNTIF(Sheet1!$A$15:$A$22,"*折早*")&gt;0)=TRUE,"エラー！
Sheet1の見習欄の駅名を統一してください",
IFERROR(
  IF(
    INDEX(
    INDIRECT( "Sheet1!A" &amp; MATCH( "*折防早番*", Sheet1!$A$15:$A$22, 0 ) + 15 )
    :Sheet1!F22,
    IFERROR(
      MATCH(
        "*折防早番*",
        INDIRECT( "Sheet1!A" &amp; MATCH( "*折防早番*", Sheet1!$A$15:$A$22, 0 ) + 15 )
        :Sheet1!$A$22,
        0
      ),
      ""
    ),
    ( (        ROW(
        ) - 9 ) / 30 ) + 4
    ) = "",
    "",
    IFERROR(
    INDEX(
      INDIRECT( "Sheet1!A" &amp; MATCH( "*折防早番*", Sheet1!$A$15:$A$22, 0 ) + 15 )
      :Sheet1!F22,
      IFERROR(
        MATCH(
        "*折防早番*",
        INDIRECT( "Sheet1!A" &amp; MATCH( "*折防早番*", Sheet1!$A$15:$A$22, 0 ) + 15 )
        :Sheet1!$A$22,
        0
        ),
        ""
      ),
      ( (        ROW(
        ) - 9 ) / 30 ) + 4
    ) &amp; "(15時50分～19時)",
    ""
    )
  ),
  ""
)
)</f>
        <v/>
      </c>
      <c r="E69" s="16" t="str" cm="1">
        <f t="array" aca="1" ref="E69" ca="1">IF(AND(COUNTIF(Sheet1!$A$15:$A$22,"*折防早番*")&gt;0,COUNTIF(Sheet1!$A$15:$A$22,"*折早*")&gt;0)=TRUE,"",
IFERROR(
  IF(
    INDEX(
    INDIRECT( "Sheet1!A" &amp; MATCH( "*折早*", Sheet1!$A$15:$A$22, 0 ) + 15 )
    :Sheet1!F22,
    IFERROR(
      MATCH(
        "*折早*",
        INDIRECT( "Sheet1!A" &amp; MATCH( "*折早*", Sheet1!$A$15:$A$22, 0 ) + 15 )
        :Sheet1!$A$22,
        0
      ),
      ""
    ),
    ( (        ROW(
        ) - 9 ) / 30 ) + 4
    ) = "",
    "",
    IFERROR(
    INDEX(
      INDIRECT( "Sheet1!A" &amp; MATCH( "*折早*", Sheet1!$A$15:$A$22, 0 ) + 15 )
      :Sheet1!F22,
      IFERROR(
        MATCH(
        "*折早*",
        INDIRECT( "Sheet1!A" &amp; MATCH( "*折早*", Sheet1!$A$15:$A$22, 0 ) + 15 )
        :Sheet1!$A$22,
        0
        ),
        ""
      ),
      ( (        ROW(
        ) - 9 ) / 30 ) + 4
    ) &amp; "(15時50分～19時)",
    ""
    )
  ),
  ""
)
)</f>
        <v/>
      </c>
      <c r="F69" s="67"/>
      <c r="J69" s="16" t="str">
        <f>IF(A69="","※折早研修","")</f>
        <v>※折早研修</v>
      </c>
      <c r="Z69" s="16" t="str">
        <f t="shared" si="1"/>
        <v/>
      </c>
    </row>
    <row r="70" spans="1:26">
      <c r="A70" s="18" t="str">
        <f>IF(B70&lt;&gt;"","折遅研修　","")</f>
        <v/>
      </c>
      <c r="B70" s="16" t="str" cm="1">
        <f t="array" ref="B70">IF(AND(COUNTIF(Sheet1!$A$15:$A$22,"*折防遅番*")&gt;0,COUNTIF(Sheet1!$A$15:$A$22,"*折遅*")&gt;0)=TRUE,"エラー！Sheet1の見習欄の駅名を統一してください",
IFERROR(IF(INDEX(Sheet1!$A$15:F22,IFERROR(IFERROR(MATCH("*折防遅番*",Sheet1!$A$15:$A$22,0),MATCH("*折遅*",Sheet1!$A$15:$A$22,0)),""),((ROW()-10)/30)+4)="","",IFERROR(INDEX(Sheet1!$A$15:F22,IFERROR(IFERROR(MATCH("*折防遅番*",Sheet1!$A$15:$A$22,0),MATCH("*折遅*",Sheet1!$A$15:$A$22,0)),""),((ROW()-10)/30)+4)&amp;"(17時～21時)","")),"")
)</f>
        <v/>
      </c>
      <c r="C70" s="19" t="str" cm="1">
        <f t="array" aca="1" ref="C70" ca="1">IF(INDIRECT("R"&amp;ROW()&amp;"C"&amp;COLUMN()-1,FALSE)="","",((IF(OR(INDIRECT("R"&amp;ROW()&amp;"C"&amp;COLUMN()+1,FALSE)&lt;&gt;"",INDIRECT("R"&amp;ROW()&amp;"C"&amp;COLUMN()+2,FALSE)&lt;&gt;""),"　",""))))</f>
        <v/>
      </c>
      <c r="D70" s="16" t="str" cm="1">
        <f t="array" aca="1" ref="D70" ca="1">IF(AND(COUNTIF(Sheet1!$A$15:$A$22,"*折防遅番*")&gt;0,COUNTIF(Sheet1!$A$15:$A$22,"*折遅*")&gt;0)=TRUE,"エラー！
Sheet1の見習欄の駅名を統一してください",
IFERROR(
  IF(
    INDEX(
    INDIRECT( "Sheet1!A" &amp; MATCH( "*折防遅番*", Sheet1!$A$15:$A$22, 0 ) + 15 )
    :Sheet1!F22,
    IFERROR(
      MATCH(
        "*折防遅番*",
        INDIRECT( "Sheet1!A" &amp; MATCH( "*折防遅番*", Sheet1!$A$15:$A$22, 0 ) + 15 )
        :Sheet1!$A$22,
        0
      ),
      ""
    ),
    ( (        ROW(
        ) - 10 ) / 30 ) + 4
    ) = "",
    "",
    IFERROR(
    INDEX(
      INDIRECT( "Sheet1!A" &amp; MATCH( "*折防遅番*", Sheet1!$A$15:$A$22, 0 ) + 15 )
      :Sheet1!F22,
      IFERROR(
        MATCH(
        "*折防遅番*",
        INDIRECT( "Sheet1!A" &amp; MATCH( "*折防遅番*", Sheet1!$A$15:$A$22, 0 ) + 15 )
        :Sheet1!$A$22,
        0
        ),
        ""
      ),
      ( (        ROW(
        ) - 10 ) / 30 ) + 4
    ) &amp; "(17時～21時)",
    ""
    )
  ),
  ""
)
)</f>
        <v/>
      </c>
      <c r="E70" s="16" t="str" cm="1">
        <f t="array" aca="1" ref="E70" ca="1">IF(AND(COUNTIF(Sheet1!$A$15:$A$22,"*折防遅番*")&gt;0,COUNTIF(Sheet1!$A$15:$A$22,"*折遅*")&gt;0)=TRUE,"",
IFERROR(
  IF(
    INDEX(
    INDIRECT( "Sheet1!A" &amp; MATCH( "*折遅*", Sheet1!$A$15:$A$22, 0 ) + 15 )
    :Sheet1!F22,
    IFERROR(
      MATCH(
        "*折遅*",
        INDIRECT( "Sheet1!A" &amp; MATCH( "*折遅*", Sheet1!$A$15:$A$22, 0 ) + 15 )
        :Sheet1!$A$22,
        0
      ),
      ""
    ),
    ( (        ROW(
        ) - 10 ) / 30 ) + 4
    ) = "",
    "",
    IFERROR(
    INDEX(
      INDIRECT( "Sheet1!A" &amp; MATCH( "*折遅*", Sheet1!$A$15:$A$22, 0 ) + 15 )
      :Sheet1!F22,
      IFERROR(
        MATCH(
        "*折遅*",
        INDIRECT( "Sheet1!A" &amp; MATCH( "*折遅*", Sheet1!$A$15:$A$22, 0 ) + 15 )
        :Sheet1!$A$22,
        0
        ),
        ""
      ),
      ( (        ROW(
        ) - 10 ) / 30 ) + 4
    ) &amp; "(17～21時)",
    ""
    )
  ),
  ""
)
)</f>
        <v/>
      </c>
      <c r="F70" s="67"/>
      <c r="J70" s="16" t="str">
        <f>IF(A70="","※折遅研修","")</f>
        <v>※折遅研修</v>
      </c>
      <c r="Z70" s="16" t="str">
        <f t="shared" si="1"/>
        <v/>
      </c>
    </row>
    <row r="71" spans="1:26">
      <c r="A71" s="18" t="str">
        <f>IF(B71&lt;&gt;"","折防ロング研修","")</f>
        <v/>
      </c>
      <c r="B71" s="16" t="str" cm="1">
        <f t="array" ref="B71">IF(AND(COUNTIF(Sheet1!$A$15:$A$22,"*折防ロング*")&gt;0,COUNTIF(Sheet1!$A$15:$A$22,"*折ロング*")&gt;0)=TRUE,"エラー！
Sheet1の見習欄の駅名を統一してください",
IFERROR(IF(INDEX(Sheet1!$A$15:F22,IFERROR(IFERROR(MATCH("*折防ロング*",Sheet1!$A$15:$A$22,0),MATCH("*折ロング*",Sheet1!$A$15:$A$22,0)),""),((ROW()-11)/30)+4)="","",IFERROR(INDEX(Sheet1!$A$15:F22,IFERROR(IFERROR(MATCH("*折防ロング*",Sheet1!$A$15:$A$22,0),MATCH("*折ロング*",Sheet1!$A$15:$A$22,0)),""),((ROW()-11)/30)+4)&amp;"(15時50分～21時)","")),"")
)</f>
        <v/>
      </c>
      <c r="C71" s="19" t="str" cm="1">
        <f t="array" aca="1" ref="C71" ca="1">IF(INDIRECT("R"&amp;ROW()&amp;"C"&amp;COLUMN()-1,FALSE)="","",((IF(OR(INDIRECT("R"&amp;ROW()&amp;"C"&amp;COLUMN()+1,FALSE)&lt;&gt;"",INDIRECT("R"&amp;ROW()&amp;"C"&amp;COLUMN()+2,FALSE)&lt;&gt;""),"　",""))))</f>
        <v/>
      </c>
      <c r="D71" s="16" t="str" cm="1">
        <f t="array" aca="1" ref="D71" ca="1">IFERROR(
  IF(
    INDEX(
    INDIRECT( "Sheet1!A" &amp; MATCH( "*折防ロング*", Sheet1!$A$15:$A$22, 0 ) + 15 )
    :Sheet1!F22,
    IFERROR(
      MATCH(
        "*折防ロング*",
        INDIRECT( "Sheet1!A" &amp; MATCH( "*折防ロング*", Sheet1!$A$15:$A$22, 0 ) + 15 )
        :Sheet1!$A$22,
        0
      ),
      ""
    ),
    ( (        ROW(
        ) - 11 ) / 30 ) + 4
    ) = "",
    "",
    IFERROR(
    INDEX(
      INDIRECT( "Sheet1!A" &amp; MATCH( "*折防ロング*", Sheet1!$A$15:$A$22, 0 ) + 15 )
      :Sheet1!F22,
      IFERROR(
        MATCH(
        "*折防ロング*",
        INDIRECT( "Sheet1!A" &amp; MATCH( "*折防ロング*", Sheet1!$A$15:$A$22, 0 ) + 15 )
        :Sheet1!$A$22,
        0
        ),
        ""
      ),
      ( (        ROW(
        ) - 11 ) / 30 ) + 4
    ) &amp; "(15時50分～21時)",
    ""
    )
  ),
  ""
)</f>
        <v/>
      </c>
      <c r="F71" s="67"/>
      <c r="J71" s="16" t="str">
        <f>IF(A71="","※折防ロング研修","")</f>
        <v>※折防ロング研修</v>
      </c>
      <c r="Z71" s="16" t="str">
        <f t="shared" si="1"/>
        <v/>
      </c>
    </row>
    <row r="72" spans="1:26">
      <c r="A72" s="18"/>
      <c r="B72" s="16" t="s">
        <v>6</v>
      </c>
      <c r="C72" s="19" t="str" cm="1">
        <f t="array" aca="1" ref="C72" ca="1">IF(INDIRECT("R"&amp;ROW()&amp;"C"&amp;COLUMN()-1,FALSE)="","",((IF(OR(INDIRECT("R"&amp;ROW()&amp;"C"&amp;COLUMN()+1,FALSE)&lt;&gt;"",INDIRECT("R"&amp;ROW()&amp;"C"&amp;COLUMN()+2,FALSE)&lt;&gt;""),"　",""))))</f>
        <v/>
      </c>
      <c r="F72" s="67"/>
      <c r="Z72" s="16" t="str">
        <f t="shared" si="1"/>
        <v/>
      </c>
    </row>
    <row r="73" spans="1:26">
      <c r="A73" s="66" t="s">
        <v>20</v>
      </c>
      <c r="B73" s="16" t="s">
        <v>6</v>
      </c>
      <c r="C73" s="19" t="str" cm="1">
        <f t="array" aca="1" ref="C73" ca="1">IF(INDIRECT("R"&amp;ROW()&amp;"C"&amp;COLUMN()-1,FALSE)="","",((IF(OR(INDIRECT("R"&amp;ROW()&amp;"C"&amp;COLUMN()+1,FALSE)&lt;&gt;"",INDIRECT("R"&amp;ROW()&amp;"C"&amp;COLUMN()+2,FALSE)&lt;&gt;""),"　",""))))</f>
        <v/>
      </c>
      <c r="Z73" s="16" t="str">
        <f t="shared" si="1"/>
        <v/>
      </c>
    </row>
    <row r="74" spans="1:26">
      <c r="A74" s="67" t="s">
        <v>217</v>
      </c>
      <c r="B74" s="16" t="str">
        <f>IF(Sheet1!F7="","",
IF(COUNTIF(Sheet1!F7,"*:*")=1,SUBSTITUTE(SUBSTITUTE(Sheet1!F7&amp;CHAR(10)&amp;"(～20:30)",CHAR(10),""),"(～20:30)","")&amp;"(～20時30分)",Sheet1!F7)
)</f>
        <v>相良 水</v>
      </c>
      <c r="C74" s="19" t="str" cm="1">
        <f t="array" aca="1" ref="C74" ca="1">IF(INDIRECT("R"&amp;ROW()&amp;"C"&amp;COLUMN()-1,FALSE)="","",((IF(OR(INDIRECT("R"&amp;ROW()&amp;"C"&amp;COLUMN()+1,FALSE)&lt;&gt;"",INDIRECT("R"&amp;ROW()&amp;"C"&amp;COLUMN()+2,FALSE)&lt;&gt;""),"　",""))))</f>
        <v/>
      </c>
      <c r="Z74" s="16" t="str">
        <f t="shared" si="1"/>
        <v/>
      </c>
    </row>
    <row r="75" spans="1:26">
      <c r="A75" s="67" t="s">
        <v>218</v>
      </c>
      <c r="B75" s="16" t="str">
        <f>IF(
  COUNTIF(
    Sheet1!F8:F11,
    "*:*"
  ) = 0,
  Sheet1!F8 &amp; "　" &amp; Sheet1!F9,
  IF(
    COUNTIF(
    Sheet1!F8:F11,
    "*:*"
    ) = 1,
    Sheet1!F8 &amp; "　" &amp;
SUBSTITUTE(
    SUBSTITUTE(
    Sheet1!F9 &amp;
    CHAR(
      10
    ) &amp; "(～20:30)",
    CHAR(
      10
    ),
    ""
    ),
    "(～20:30)",
    ""
  )
 &amp; "(～20時30分)",
    IF(
    COUNTIF(
      Sheet1!F8:F11,
      "*:*"
    ) = 2,
    SUBSTITUTE(
    SUBSTITUTE(
    Sheet1!F8 &amp;
    CHAR(
      10
    ) &amp; "(～20:30)",
    CHAR(
      10
    ),
    ""
    ),
    "(～20:30)",
    ""
  )
&amp; "(～20時30分) " &amp;
SUBSTITUTE(
    SUBSTITUTE(
    Sheet1!F9 &amp;
    CHAR(
      10
    ) &amp; "(～20:30)",
    CHAR(
      10
    ),
    ""
    ),
    "(～20:30)",
    ""
  )
 &amp; "(～20時30分)"
    )
  )
)</f>
        <v>北原 水　二瓶 水</v>
      </c>
      <c r="C75" s="19" t="str" cm="1">
        <f t="array" aca="1" ref="C75" ca="1">IF(INDIRECT("R"&amp;ROW()&amp;"C"&amp;COLUMN()-1,FALSE)="","",((IF(OR(INDIRECT("R"&amp;ROW()&amp;"C"&amp;COLUMN()+1,FALSE)&lt;&gt;"",INDIRECT("R"&amp;ROW()&amp;"C"&amp;COLUMN()+2,FALSE)&lt;&gt;""),"　",""))))</f>
        <v/>
      </c>
      <c r="Z75" s="16" t="str">
        <f t="shared" si="1"/>
        <v/>
      </c>
    </row>
    <row r="76" spans="1:26">
      <c r="A76" s="67" t="s">
        <v>219</v>
      </c>
      <c r="B76" s="16" t="str">
        <f>IF(COUNTIF(Sheet1!F8:F11,"*:*")=0, Sheet1!F10&amp;"　"&amp;Sheet1!F11, IF(COUNTIF(Sheet1!F8:F11,"*:*")=1,Sheet1!F11, IF(COUNTIF(Sheet1!F8:F11,"*:*")=2, "-")))</f>
        <v>神谷 水　三上 水</v>
      </c>
      <c r="C76" s="19" t="str" cm="1">
        <f t="array" aca="1" ref="C76" ca="1">IF(INDIRECT("R"&amp;ROW()&amp;"C"&amp;COLUMN()-1,FALSE)="","",((IF(OR(INDIRECT("R"&amp;ROW()&amp;"C"&amp;COLUMN()+1,FALSE)&lt;&gt;"",INDIRECT("R"&amp;ROW()&amp;"C"&amp;COLUMN()+2,FALSE)&lt;&gt;""),"　",""))))</f>
        <v/>
      </c>
      <c r="Z76" s="16" t="str">
        <f t="shared" si="1"/>
        <v/>
      </c>
    </row>
    <row r="77" spans="1:26">
      <c r="A77" s="67" t="str">
        <f>IF(B77&lt;&gt;"","早番研修","")</f>
        <v/>
      </c>
      <c r="B77" s="16" t="str" cm="1">
        <f t="array" ref="B77">IFERROR(IF(INDEX(Sheet1!$A$15:F22,IFERROR(MATCH("烏丸早番",Sheet1!$A$15:$A$22,0),""),((ROW()-17)/30)+4)="","",IFERROR(INDEX(Sheet1!$A$15:F22,IFERROR(MATCH("烏丸早番",Sheet1!$A$15:$A$22,0),""),((ROW()-17)/30)+4)&amp;"(17時～19時)","")),"")</f>
        <v/>
      </c>
      <c r="C77" s="19" t="str" cm="1">
        <f t="array" aca="1" ref="C77" ca="1">IF(INDIRECT("R"&amp;ROW()&amp;"C"&amp;COLUMN()-1,FALSE)="","",((IF(OR(INDIRECT("R"&amp;ROW()&amp;"C"&amp;COLUMN()+1,FALSE)&lt;&gt;"",INDIRECT("R"&amp;ROW()&amp;"C"&amp;COLUMN()+2,FALSE)&lt;&gt;""),"　",""))))</f>
        <v/>
      </c>
      <c r="D77" s="16" t="str" cm="1">
        <f t="array" aca="1" ref="D77" ca="1">IFERROR(
  IF(
    INDEX(
    INDIRECT( "Sheet1!A" &amp; MATCH( "烏丸早番", Sheet1!$A$15:$A$22, 0 ) + 15 )
    :Sheet1!F22,
    IFERROR(
      MATCH(
        "烏丸早番",
        INDIRECT( "Sheet1!A" &amp; MATCH( "烏丸早番", Sheet1!$A$15:$A$22, 0 ) + 15 )
        :Sheet1!$A$22,
        0
      ),
      ""
    ),
    ( (        ROW(
        ) - 17 ) / 30 ) + 4
    ) = "",
    "",
    IFERROR(
    INDEX(
      INDIRECT( "Sheet1!A" &amp; MATCH( "烏丸早番", Sheet1!$A$15:$A$22, 0 ) + 15 )
      :Sheet1!F22,
      IFERROR(
        MATCH(
        "烏丸早番",
        INDIRECT( "Sheet1!A" &amp; MATCH( "烏丸早番", Sheet1!$A$15:$A$22, 0 ) + 15 )
        :Sheet1!$A$22,
        0
        ),
        ""
      ),
      ( (        ROW(
        ) - 17 ) / 30 ) + 4
    ) &amp; "(17時～19時)",
    ""
    )
  ),
  ""
)</f>
        <v/>
      </c>
      <c r="J77" s="16" t="str">
        <f>IF(A77="","※烏丸早番研修","")</f>
        <v>※烏丸早番研修</v>
      </c>
      <c r="Z77" s="16" t="str">
        <f t="shared" si="1"/>
        <v/>
      </c>
    </row>
    <row r="78" spans="1:26">
      <c r="A78" s="67" t="str">
        <f>IF(B78&lt;&gt;"","遅番研修","")</f>
        <v/>
      </c>
      <c r="B78" s="16" t="str" cm="1">
        <f t="array" ref="B78">IFERROR(IF(INDEX(Sheet1!$A$15:F22,IFERROR(MATCH("*烏丸遅番*",Sheet1!$A$15:$A$22,0),""),((ROW()-18)/30)+4)="","",IFERROR(INDEX(Sheet1!$A$15:F22,IFERROR(MATCH("*烏丸遅番*",Sheet1!$A$15:$A$22,0),""),((ROW()-18)/30)+4)&amp;"(18時～20時30分)","")),"")</f>
        <v/>
      </c>
      <c r="C78" s="19" t="str" cm="1">
        <f t="array" aca="1" ref="C78" ca="1">IF(INDIRECT("R"&amp;ROW()&amp;"C"&amp;COLUMN()-1,FALSE)="","",((IF(OR(INDIRECT("R"&amp;ROW()&amp;"C"&amp;COLUMN()+1,FALSE)&lt;&gt;"",INDIRECT("R"&amp;ROW()&amp;"C"&amp;COLUMN()+2,FALSE)&lt;&gt;""),"　",""))))</f>
        <v/>
      </c>
      <c r="D78" s="16" t="str" cm="1">
        <f t="array" aca="1" ref="D78" ca="1">IFERROR(
  IF(
    INDEX(
    INDIRECT( "Sheet1!A" &amp; MATCH( "*烏丸遅番*", Sheet1!$A$15:$A$22, 0 ) + 15 )
    :Sheet1!F22,
    IFERROR(
      MATCH(
        "*烏丸遅番*",
        INDIRECT( "Sheet1!A" &amp; MATCH( "*烏丸遅番*", Sheet1!$A$15:$A$22, 0 ) + 15 )
        :Sheet1!$A$22,
        0
      ),
      ""
    ),
    ( (        ROW(
        ) - 18 ) / 30 ) + 4
    ) = "",
    "",
    IFERROR(
    INDEX(
      INDIRECT( "Sheet1!A" &amp; MATCH( "*烏丸遅番*", Sheet1!$A$15:$A$22, 0 ) + 15 )
      :Sheet1!F22,
      IFERROR(
        MATCH(
        "*烏丸遅番*",
        INDIRECT( "Sheet1!A" &amp; MATCH( "*烏丸遅番*", Sheet1!$A$15:$A$22, 0 ) + 15 )
        :Sheet1!$A$22,
        0
        ),
        ""
      ),
      ( (        ROW(
        ) - 18 ) / 30 ) + 4
    ) &amp; "(18時～20時30分)",
    ""
    )
  ),
  ""
)</f>
        <v/>
      </c>
      <c r="J78" s="16" t="str">
        <f>IF(A78="","※烏丸遅番研修","")</f>
        <v>※烏丸遅番研修</v>
      </c>
      <c r="Z78" s="16" t="str">
        <f t="shared" si="1"/>
        <v/>
      </c>
    </row>
    <row r="79" spans="1:26">
      <c r="A79" s="67" t="str">
        <f>IF(B79&lt;&gt;"","早番ロング研修","")</f>
        <v/>
      </c>
      <c r="B79" s="16" t="str" cm="1">
        <f t="array" ref="B79">IF(AND(COUNTIF(Sheet1!$A$15:$A$22,"烏丸早番ロング")&gt;0,COUNTIF(Sheet1!$A$15:$A$22,"烏丸ロング")&gt;0)=TRUE,"エラー！
Sheet1の見習欄の駅名を統一してください",
IF(IFERROR(IFERROR(INDEX(Sheet1!$A$15:F22,IFERROR(MATCH("烏丸早番ロング",Sheet1!$A$15:$A$22,0),""),((ROW()-17)/30)+4),INDEX(Sheet1!$A$15:F22,IFERROR(MATCH("烏丸ロング",Sheet1!$A$15:$A$22,0),""),((ROW()-19)/30)+4)),"")&lt;&gt;"",
IFERROR(IFERROR(INDEX(Sheet1!$A$15:F22,IFERROR(MATCH("烏丸早番ロング",Sheet1!$A$15:$A$22,0),""),((ROW()-17)/30)+4),INDEX(Sheet1!$A$15:F22,IFERROR(MATCH("烏丸ロング",Sheet1!$A$15:$A$22,0),""),((ROW()-19)/30)+4)),"")&amp;"(17時～20時30分)",""))</f>
        <v/>
      </c>
      <c r="C79" s="19" t="str" cm="1">
        <f t="array" aca="1" ref="C79" ca="1">IF(INDIRECT("R"&amp;ROW()&amp;"C"&amp;COLUMN()-1,FALSE)="","",((IF(OR(INDIRECT("R"&amp;ROW()&amp;"C"&amp;COLUMN()+1,FALSE)&lt;&gt;"",INDIRECT("R"&amp;ROW()&amp;"C"&amp;COLUMN()+2,FALSE)&lt;&gt;""),"　",""))))</f>
        <v/>
      </c>
      <c r="D79" s="122" t="str" cm="1">
        <f t="array" aca="1" ref="D79" ca="1">IF(AND(COUNTIF(Sheet1!$A$15:$A$22,"烏丸早番ロング")&gt;0,COUNTIF(Sheet1!$A$15:$A$22,"烏丸ロング")&gt;0)=TRUE,"エラー！Sheet1の見習欄の駅名を統一してください",IF(
IFERROR(
IFERROR(
INDEX(
INDIRECT("Sheet1!A"&amp;MATCH("烏丸早番ロング",Sheet1!$A$15:$A$22,0)+15)
:Sheet1!F22,
IFERROR(
MATCH(
"烏丸早番ロング",
INDIRECT("Sheet1!A"&amp;MATCH("烏丸早番ロング",Sheet1!$A$15:$A$22,0)+15)
:Sheet1!$A$22,
0
),
""
),
((ROW(
)-19)/30)+4
),
INDEX(
INDIRECT("Sheet1!A"&amp;MATCH("烏丸早番ロング",Sheet1!$A$15:$A$22,0)+15)
:Sheet1!F22,
IFERROR(
MATCH(
"烏丸ロング",
INDIRECT("Sheet1!A"&amp;MATCH("烏丸早番ロング",Sheet1!$A$15:$A$22,0)+15)
:Sheet1!$A$22,
0
),
""
),
((ROW(
)-19)/30)+4
)
),
""
)&lt;&gt;"",
IFERROR(
IFERROR(
INDEX(
INDIRECT("Sheet1!A"&amp;MATCH("烏丸早番ロング",Sheet1!$A$15:$A$22,0)+15)
:Sheet1!F22,
IFERROR(
MATCH(
"烏丸早番ロング",
INDIRECT("Sheet1!A"&amp;MATCH("烏丸早番ロング",Sheet1!$A$15:$A$22,0)+15)
:Sheet1!$A$22,
0
),
""
),
((ROW(
)-19)/30)+4
),
INDEX(
INDIRECT("Sheet1!A"&amp;MATCH("烏丸早番ロング",Sheet1!$A$15:$A$22,0)+15)
:Sheet1!F22,
IFERROR(
MATCH(
"烏丸ロング",
INDIRECT("Sheet1!A"&amp;MATCH("烏丸早番ロング",Sheet1!$A$15:$A$22,0)+15)
:Sheet1!$A$22,
0
),
""
),
((ROW(
)-19)/30)+4
)
),
""
)&amp;"(17時～20時30分)",
""
))</f>
        <v/>
      </c>
      <c r="E79" s="16" t="str" cm="1">
        <f t="array" aca="1" ref="E79" ca="1">IF(AND(COUNTIF(Sheet1!$A$15:$A$22,"烏丸早番ロング")&gt;0,COUNTIF(Sheet1!$A$15:$A$22,"烏丸ロング")&gt;0)=TRUE,"エラー！
Sheet1の見習欄の駅名を統一してください",
IFERROR(
  IF(
    INDEX(
    INDIRECT( "Sheet1!A" &amp; MATCH( "*烏丸ロング*", Sheet1!$A$15:$A$22, 0 ) + 15 )
    :Sheet1!F22,
    IFERROR(
      MATCH(
        "*烏丸ロング*",
        INDIRECT( "Sheet1!A" &amp; MATCH( "*烏丸ロング*", Sheet1!$A$15:$A$22, 0 ) + 15 )
        :Sheet1!$A$22,
        0
      ),
      ""
    ),
    ( (        ROW(
        ) - 18 ) / 30 ) + 4
    ) = "",
    "",
    IFERROR(
    INDEX(
      INDIRECT( "Sheet1!A" &amp; MATCH( "*烏丸ロング*", Sheet1!$A$15:$A$22, 0 ) + 15 )
      :Sheet1!F22,
      IFERROR(
        MATCH(
        "*烏丸ロング*",
        INDIRECT( "Sheet1!A" &amp; MATCH( "*烏丸ロング*", Sheet1!$A$15:$A$22, 0 ) + 15 )
        :Sheet1!$A$22,
        0
        ),
        ""
      ),
      ( (        ROW(
        ) - 18 ) / 30 ) + 4
    ) &amp; "(17時～20時30分)",
    ""
    )
  ),
  ""
))</f>
        <v/>
      </c>
      <c r="J79" s="16" t="str">
        <f>IF(A79="","※烏丸早番ロング研修","")</f>
        <v>※烏丸早番ロング研修</v>
      </c>
      <c r="Z79" s="16" t="str">
        <f t="shared" si="1"/>
        <v/>
      </c>
    </row>
    <row r="80" spans="1:26">
      <c r="A80" s="67"/>
      <c r="B80" s="16" t="s">
        <v>6</v>
      </c>
      <c r="C80" s="19" t="str" cm="1">
        <f t="array" aca="1" ref="C80" ca="1">IF(INDIRECT("R"&amp;ROW()&amp;"C"&amp;COLUMN()-1,FALSE)="","",((IF(OR(INDIRECT("R"&amp;ROW()&amp;"C"&amp;COLUMN()+1,FALSE)&lt;&gt;"",INDIRECT("R"&amp;ROW()&amp;"C"&amp;COLUMN()+2,FALSE)&lt;&gt;""),"　",""))))</f>
        <v/>
      </c>
      <c r="D80" s="122"/>
      <c r="Z80" s="16" t="str">
        <f t="shared" si="1"/>
        <v/>
      </c>
    </row>
    <row r="81" spans="1:26">
      <c r="A81" s="66" t="s">
        <v>21</v>
      </c>
      <c r="B81" s="16" t="s">
        <v>6</v>
      </c>
      <c r="C81" s="19" t="str" cm="1">
        <f t="array" aca="1" ref="C81" ca="1">IF(INDIRECT("R"&amp;ROW()&amp;"C"&amp;COLUMN()-1,FALSE)="","",((IF(OR(INDIRECT("R"&amp;ROW()&amp;"C"&amp;COLUMN()+1,FALSE)&lt;&gt;"",INDIRECT("R"&amp;ROW()&amp;"C"&amp;COLUMN()+2,FALSE)&lt;&gt;""),"　",""))))</f>
        <v/>
      </c>
      <c r="Z81" s="16" t="str">
        <f t="shared" si="1"/>
        <v/>
      </c>
    </row>
    <row r="82" spans="1:26">
      <c r="A82" s="67" t="s">
        <v>211</v>
      </c>
      <c r="B82" s="16" t="str">
        <f>IF(Sheet1!F12&lt;&gt;"",Sheet1!F12,"")</f>
        <v>五味 水</v>
      </c>
      <c r="C82" s="19" t="str" cm="1">
        <f t="array" aca="1" ref="C82" ca="1">IF(INDIRECT("R"&amp;ROW()&amp;"C"&amp;COLUMN()-1,FALSE)="","",((IF(OR(INDIRECT("R"&amp;ROW()&amp;"C"&amp;COLUMN()+1,FALSE)&lt;&gt;"",INDIRECT("R"&amp;ROW()&amp;"C"&amp;COLUMN()+2,FALSE)&lt;&gt;""),"　",""))))</f>
        <v/>
      </c>
      <c r="Z82" s="16" t="str">
        <f t="shared" si="1"/>
        <v/>
      </c>
    </row>
    <row r="83" spans="1:26">
      <c r="A83" s="67" t="str">
        <f>IF(B83&lt;&gt;"","大宮上り研修","")</f>
        <v/>
      </c>
      <c r="B83" s="16" t="str" cm="1">
        <f t="array" ref="B83">IFERROR(IF(INDEX(Sheet1!$A$15:F22,IFERROR(MATCH("*大宮*",Sheet1!$A$15:$A$22,0),""),((ROW()-23)/30)+4)="","",IFERROR(INDEX(Sheet1!$A$15:F22,IFERROR(MATCH("*大宮*",Sheet1!$A$15:$A$22,0),""),((ROW()-23)/30)+4)&amp;"(17時30分～19時30分)","")),"")</f>
        <v/>
      </c>
      <c r="C83" s="19" t="str" cm="1">
        <f t="array" aca="1" ref="C83" ca="1">IF(INDIRECT("R"&amp;ROW()&amp;"C"&amp;COLUMN()-1,FALSE)="","",((IF(OR(INDIRECT("R"&amp;ROW()&amp;"C"&amp;COLUMN()+1,FALSE)&lt;&gt;"",INDIRECT("R"&amp;ROW()&amp;"C"&amp;COLUMN()+2,FALSE)&lt;&gt;""),"　",""))))</f>
        <v/>
      </c>
      <c r="D83" s="16" t="str" cm="1">
        <f t="array" aca="1" ref="D83" ca="1">IFERROR(
  IF(
    INDEX(
    INDIRECT( "Sheet1!A" &amp; MATCH( "*大宮*", Sheet1!$A$15:$A$22, 0 ) + 15 )
    :Sheet1!F22,
    IFERROR(
      MATCH(
        "*大宮*",
        INDIRECT( "Sheet1!A" &amp; MATCH( "*大宮*", Sheet1!$A$15:$A$22, 0 ) + 15 )
        :Sheet1!$A$22,
        0
      ),
      ""
    ),
    ( (        ROW(
        ) - 23 ) / 30 ) + 4
    ) = "",
    "",
    IFERROR(
    INDEX(
      INDIRECT( "Sheet1!A" &amp; MATCH( "*大宮*", Sheet1!$A$15:$A$22, 0 ) + 15 )
      :Sheet1!F22,
      IFERROR(
        MATCH(
        "*大宮*",
        INDIRECT( "Sheet1!A" &amp; MATCH( "*大宮*", Sheet1!$A$15:$A$22, 0 ) + 15 )
        :Sheet1!$A$22,
        0
        ),
        ""
      ),
      ( (        ROW(
        ) - 23 ) / 30 ) + 4
    ) &amp; "(17時30分～19時30分)",
    ""
    )
  ),
  ""
)</f>
        <v/>
      </c>
      <c r="J83" s="16" t="str">
        <f>IF(A83="","※大宮上り研修","")</f>
        <v>※大宮上り研修</v>
      </c>
      <c r="Z83" s="16" t="str">
        <f t="shared" si="1"/>
        <v/>
      </c>
    </row>
    <row r="84" spans="1:26">
      <c r="A84" s="67"/>
      <c r="B84" s="16" t="s">
        <v>6</v>
      </c>
      <c r="C84" s="19" t="str" cm="1">
        <f t="array" aca="1" ref="C84" ca="1">IF(INDIRECT("R"&amp;ROW()&amp;"C"&amp;COLUMN()-1,FALSE)="","",((IF(OR(INDIRECT("R"&amp;ROW()&amp;"C"&amp;COLUMN()+1,FALSE)&lt;&gt;"",INDIRECT("R"&amp;ROW()&amp;"C"&amp;COLUMN()+2,FALSE)&lt;&gt;""),"　",""))))</f>
        <v/>
      </c>
      <c r="Z84" s="16" t="str">
        <f t="shared" si="1"/>
        <v/>
      </c>
    </row>
    <row r="85" spans="1:26">
      <c r="A85" s="66" t="s">
        <v>22</v>
      </c>
      <c r="B85" s="16" t="s">
        <v>6</v>
      </c>
      <c r="C85" s="19" t="str" cm="1">
        <f t="array" aca="1" ref="C85" ca="1">IF(INDIRECT("R"&amp;ROW()&amp;"C"&amp;COLUMN()-1,FALSE)="","",((IF(OR(INDIRECT("R"&amp;ROW()&amp;"C"&amp;COLUMN()+1,FALSE)&lt;&gt;"",INDIRECT("R"&amp;ROW()&amp;"C"&amp;COLUMN()+2,FALSE)&lt;&gt;""),"　",""))))</f>
        <v/>
      </c>
      <c r="Z85" s="16" t="str">
        <f t="shared" si="1"/>
        <v/>
      </c>
    </row>
    <row r="86" spans="1:26">
      <c r="A86" s="67" t="s">
        <v>212</v>
      </c>
      <c r="B86" s="16" t="str">
        <f>IF(Sheet1!F13&lt;&gt;"",Sheet1!F13,"")</f>
        <v>片野 水</v>
      </c>
      <c r="C86" s="19" t="str" cm="1">
        <f t="array" aca="1" ref="C86" ca="1">IF(INDIRECT("R"&amp;ROW()&amp;"C"&amp;COLUMN()-1,FALSE)="","",((IF(OR(INDIRECT("R"&amp;ROW()&amp;"C"&amp;COLUMN()+1,FALSE)&lt;&gt;"",INDIRECT("R"&amp;ROW()&amp;"C"&amp;COLUMN()+2,FALSE)&lt;&gt;""),"　",""))))</f>
        <v/>
      </c>
      <c r="Z86" s="16" t="str">
        <f t="shared" si="1"/>
        <v/>
      </c>
    </row>
    <row r="87" spans="1:26">
      <c r="A87" s="67"/>
      <c r="B87" s="16" t="s">
        <v>6</v>
      </c>
      <c r="C87" s="19" t="str" cm="1">
        <f t="array" aca="1" ref="C87" ca="1">IF(INDIRECT("R"&amp;ROW()&amp;"C"&amp;COLUMN()-1,FALSE)="","",((IF(OR(INDIRECT("R"&amp;ROW()&amp;"C"&amp;COLUMN()+1,FALSE)&lt;&gt;"",INDIRECT("R"&amp;ROW()&amp;"C"&amp;COLUMN()+2,FALSE)&lt;&gt;""),"　",""))))</f>
        <v/>
      </c>
      <c r="Z87" s="16" t="str">
        <f t="shared" si="1"/>
        <v/>
      </c>
    </row>
    <row r="88" spans="1:26">
      <c r="A88" s="66" t="s">
        <v>23</v>
      </c>
      <c r="B88" s="16" t="s">
        <v>6</v>
      </c>
      <c r="C88" s="19" t="str" cm="1">
        <f t="array" aca="1" ref="C88" ca="1">IF(INDIRECT("R"&amp;ROW()&amp;"C"&amp;COLUMN()-1,FALSE)="","",((IF(OR(INDIRECT("R"&amp;ROW()&amp;"C"&amp;COLUMN()+1,FALSE)&lt;&gt;"",INDIRECT("R"&amp;ROW()&amp;"C"&amp;COLUMN()+2,FALSE)&lt;&gt;""),"　",""))))</f>
        <v/>
      </c>
      <c r="Z88" s="16" t="str">
        <f t="shared" si="1"/>
        <v/>
      </c>
    </row>
    <row r="89" spans="1:26">
      <c r="A89" s="67" t="s">
        <v>211</v>
      </c>
      <c r="B89" s="16" t="str">
        <f>IF(Sheet1!F14&lt;&gt;"",Sheet1!F14,"")</f>
        <v>菅原 水</v>
      </c>
      <c r="C89" s="19" t="str" cm="1">
        <f t="array" aca="1" ref="C89" ca="1">IF(INDIRECT("R"&amp;ROW()&amp;"C"&amp;COLUMN()-1,FALSE)="","",((IF(OR(INDIRECT("R"&amp;ROW()&amp;"C"&amp;COLUMN()+1,FALSE)&lt;&gt;"",INDIRECT("R"&amp;ROW()&amp;"C"&amp;COLUMN()+2,FALSE)&lt;&gt;""),"　",""))))</f>
        <v/>
      </c>
      <c r="Z89" s="16" t="str">
        <f t="shared" si="1"/>
        <v/>
      </c>
    </row>
    <row r="90" spans="1:26">
      <c r="B90" s="16" t="s">
        <v>6</v>
      </c>
      <c r="C90" s="19" t="str" cm="1">
        <f t="array" aca="1" ref="C90" ca="1">IF(INDIRECT("R"&amp;ROW()&amp;"C"&amp;COLUMN()-1,FALSE)="","",((IF(OR(INDIRECT("R"&amp;ROW()&amp;"C"&amp;COLUMN()+1,FALSE)&lt;&gt;"",INDIRECT("R"&amp;ROW()&amp;"C"&amp;COLUMN()+2,FALSE)&lt;&gt;""),"　",""))))</f>
        <v/>
      </c>
      <c r="Z90" s="16" t="str">
        <f t="shared" si="1"/>
        <v/>
      </c>
    </row>
    <row r="91" spans="1:26">
      <c r="A91" s="2" t="s">
        <v>213</v>
      </c>
      <c r="B91" s="16" t="str">
        <f>IF(COUNTIF(データ処理部!$F$15:$F$38,"")=0,"",
IFERROR(INDEX(db!$I$4:$J$27,MATCH(SMALL(db!$I$4:$J$27,COLUMN()-1),db!$J$4:$J$27,0),1)&amp;"　",""))</f>
        <v/>
      </c>
      <c r="C91" s="16" t="str">
        <f>IF(COUNTIF(データ処理部!$F$15:$F$38,"")=0,"",
IFERROR(INDEX(db!$I$4:$J$27,MATCH(SMALL(db!$I$4:$J$27,COLUMN()-1),db!$J$4:$J$27,0),1)&amp;"　",""))</f>
        <v/>
      </c>
      <c r="D91" s="16" t="str">
        <f>IF(COUNTIF(データ処理部!$F$15:$F$38,"")=0,"",
IFERROR(INDEX(db!$I$4:$J$27,MATCH(SMALL(db!$I$4:$J$27,COLUMN()-1),db!$J$4:$J$27,0),1)&amp;"　",""))</f>
        <v/>
      </c>
      <c r="E91" s="16" t="str">
        <f>IF(COUNTIF(データ処理部!$F$15:$F$38,"")=0,"",
IFERROR(INDEX(db!$I$4:$J$27,MATCH(SMALL(db!$I$4:$J$27,COLUMN()-1),db!$J$4:$J$27,0),1)&amp;"　",""))</f>
        <v/>
      </c>
      <c r="F91" s="16" t="str">
        <f>IF(COUNTIF(データ処理部!$F$15:$F$38,"")=0,"",
IFERROR(INDEX(db!$I$4:$J$27,MATCH(SMALL(db!$I$4:$J$27,COLUMN()-1),db!$J$4:$J$27,0),1)&amp;"　",""))</f>
        <v/>
      </c>
      <c r="G91" s="16" t="str">
        <f>IF(COUNTIF(データ処理部!$F$15:$F$38,"")=0,"",
IFERROR(INDEX(db!$I$4:$J$27,MATCH(SMALL(db!$I$4:$J$27,COLUMN()-1),db!$J$4:$J$27,0),1)&amp;"　",""))</f>
        <v/>
      </c>
      <c r="H91" s="16" t="str">
        <f>IF(COUNTIF(データ処理部!$F$15:$F$38,"")=0,"",
IFERROR(INDEX(db!$I$4:$J$27,MATCH(SMALL(db!$I$4:$J$27,COLUMN()-1),db!$J$4:$J$27,0),1)&amp;"　",""))</f>
        <v/>
      </c>
      <c r="I91" s="16" t="str">
        <f>IF(COUNTIF(データ処理部!$F$15:$F$38,"")=0,"",
IFERROR(INDEX(db!$I$4:$J$27,MATCH(SMALL(db!$I$4:$J$27,COLUMN()-1),db!$J$4:$J$27,0),1)&amp;"　",""))</f>
        <v/>
      </c>
      <c r="J91" s="16" t="str">
        <f>IF(COUNTIF(データ処理部!$F$15:$F$38,"")=0,"",
IFERROR(INDEX(db!$I$4:$J$27,MATCH(SMALL(db!$I$4:$J$27,COLUMN()-1),db!$J$4:$J$27,0),1)&amp;"　",""))</f>
        <v/>
      </c>
      <c r="K91" s="16" t="str">
        <f>IF(COUNTIF(データ処理部!$F$15:$F$38,"")=0,"",
IFERROR(INDEX(db!$I$4:$J$27,MATCH(SMALL(db!$I$4:$J$27,COLUMN()-1),db!$J$4:$J$27,0),1)&amp;"　",""))</f>
        <v/>
      </c>
      <c r="L91" s="16" t="str">
        <f>IF(COUNTIF(データ処理部!$F$15:$F$38,"")=0,"",
IFERROR(INDEX(db!$I$4:$J$27,MATCH(SMALL(db!$I$4:$J$27,COLUMN()-1),db!$J$4:$J$27,0),1)&amp;"　",""))</f>
        <v/>
      </c>
      <c r="M91" s="16" t="str">
        <f>IF(COUNTIF(データ処理部!$F$15:$F$38,"")=0,"",
IFERROR(INDEX(db!$I$4:$J$27,MATCH(SMALL(db!$I$4:$J$27,COLUMN()-1),db!$J$4:$J$27,0),1)&amp;"　",""))</f>
        <v/>
      </c>
      <c r="N91" s="16" t="str">
        <f>IF(COUNTIF(データ処理部!$F$15:$F$38,"")=0,"",
IFERROR(INDEX(db!$I$4:$J$27,MATCH(SMALL(db!$I$4:$J$27,COLUMN()-1),db!$J$4:$J$27,0),1)&amp;"　",""))</f>
        <v/>
      </c>
      <c r="O91" s="16" t="str">
        <f>IF(COUNTIF(データ処理部!$F$15:$F$38,"")=0,"",
IFERROR(INDEX(db!$I$4:$J$27,MATCH(SMALL(db!$I$4:$J$27,COLUMN()-1),db!$J$4:$J$27,0),1)&amp;"　",""))</f>
        <v/>
      </c>
      <c r="P91" s="16" t="str">
        <f>IF(COUNTIF(データ処理部!$F$15:$F$38,"")=0,"",
IFERROR(INDEX(db!$I$4:$J$27,MATCH(SMALL(db!$I$4:$J$27,COLUMN()-1),db!$J$4:$J$27,0),1)&amp;"　",""))</f>
        <v/>
      </c>
      <c r="Q91" s="16" t="str">
        <f>IF(COUNTIF(データ処理部!$F$15:$F$38,"")=0,"",
IFERROR(INDEX(db!$I$4:$J$27,MATCH(SMALL(db!$I$4:$J$27,COLUMN()-1),db!$J$4:$J$27,0),1)&amp;"　",""))</f>
        <v/>
      </c>
      <c r="R91" s="16" t="str">
        <f>IF(COUNTIF(データ処理部!$F$15:$F$38,"")=0,"",
IFERROR(INDEX(db!$I$4:$J$27,MATCH(SMALL(db!$I$4:$J$27,COLUMN()-1),db!$J$4:$J$27,0),1)&amp;"　",""))</f>
        <v/>
      </c>
      <c r="S91" s="16" t="str">
        <f>IF(COUNTIF(データ処理部!$F$15:$F$38,"")=0,"",
IFERROR(INDEX(db!$I$4:$J$27,MATCH(SMALL(db!$I$4:$J$27,COLUMN()-1),db!$J$4:$J$27,0),1)&amp;"　",""))</f>
        <v/>
      </c>
      <c r="T91" s="16" t="str">
        <f>IF(COUNTIF(データ処理部!$F$15:$F$38,"")=0,"",
IFERROR(INDEX(db!$I$4:$J$27,MATCH(SMALL(db!$I$4:$J$27,COLUMN()-1),db!$J$4:$J$27,0),1)&amp;"　",""))</f>
        <v/>
      </c>
      <c r="U91" s="16" t="str">
        <f>IF(COUNTIF(データ処理部!$F$15:$F$38,"")=0,"",
IFERROR(INDEX(db!$I$4:$J$27,MATCH(SMALL(db!$I$4:$J$27,COLUMN()-1),db!$J$4:$J$27,0),1)&amp;"　",""))</f>
        <v/>
      </c>
      <c r="V91" s="16" t="str">
        <f>IF(COUNTIF(データ処理部!$F$15:$F$38,"")=0,"",
IFERROR(INDEX(db!$I$4:$J$27,MATCH(SMALL(db!$I$4:$J$27,COLUMN()-1),db!$J$4:$J$27,0),1)&amp;"　",""))</f>
        <v/>
      </c>
      <c r="W91" s="16" t="str">
        <f>IF(COUNTIF(データ処理部!$F$15:$F$38,"")=0,"",
IFERROR(INDEX(db!$I$4:$J$27,MATCH(SMALL(db!$I$4:$J$27,COLUMN()-1),db!$J$4:$J$27,0),1)&amp;"　",""))</f>
        <v/>
      </c>
      <c r="X91" s="16" t="str">
        <f>IF(COUNTIF(データ処理部!$F$15:$F$38,"")=0,"",
IFERROR(INDEX(db!$I$4:$J$27,MATCH(SMALL(db!$I$4:$J$27,COLUMN()-1),db!$J$4:$J$27,0),1)&amp;"　",""))</f>
        <v/>
      </c>
      <c r="Y91" s="16" t="str">
        <f>IF(COUNTIF(データ処理部!$F$15:$F$38,"")=0,"",
IFERROR(INDEX(db!$I$4:$J$27,MATCH(SMALL(db!$I$4:$J$27,COLUMN()-1),db!$J$4:$J$27,0),1)&amp;"　",""))</f>
        <v/>
      </c>
      <c r="Z91" s="16" t="str">
        <f>IF(A91="★年休","←ここまで","")</f>
        <v/>
      </c>
    </row>
    <row r="92" spans="1:26">
      <c r="A92" s="66"/>
      <c r="B92" s="19" t="s">
        <v>6</v>
      </c>
      <c r="Z92" s="16" t="str">
        <f t="shared" ref="Z92:Z155" si="2">IF(A92="★年休","←ここまで","")</f>
        <v/>
      </c>
    </row>
    <row r="93" spans="1:26">
      <c r="A93" s="118">
        <f>A63+1</f>
        <v>44266</v>
      </c>
      <c r="B93" s="16" t="s">
        <v>6</v>
      </c>
      <c r="Z93" s="16" t="str">
        <f t="shared" si="2"/>
        <v/>
      </c>
    </row>
    <row r="94" spans="1:26">
      <c r="A94" s="66" t="s">
        <v>19</v>
      </c>
      <c r="B94" s="19" t="s">
        <v>6</v>
      </c>
      <c r="C94" s="16" t="str" cm="1">
        <f t="array" aca="1" ref="C94" ca="1">IF(INDIRECT("R"&amp;ROW()&amp;"C"&amp;COLUMN()-1,FALSE)="","",((IF(OR(INDIRECT("R"&amp;ROW()&amp;"C"&amp;COLUMN()+1,FALSE)&lt;&gt;"",INDIRECT("R"&amp;ROW()&amp;"C"&amp;COLUMN()+2,FALSE)&lt;&gt;""),"　",""))))</f>
        <v/>
      </c>
      <c r="Z94" s="16" t="str">
        <f t="shared" si="2"/>
        <v/>
      </c>
    </row>
    <row r="95" spans="1:26">
      <c r="A95" s="18" t="s">
        <v>112</v>
      </c>
      <c r="B95" s="19" t="str">
        <f>IF(Sheet1!G2&lt;&gt;"",Sheet1!G2,"")</f>
        <v>塚原 木</v>
      </c>
      <c r="C95" s="16" t="str" cm="1">
        <f t="array" aca="1" ref="C95" ca="1">IF(INDIRECT("R"&amp;ROW()&amp;"C"&amp;COLUMN()-1,FALSE)="","",((IF(OR(INDIRECT("R"&amp;ROW()&amp;"C"&amp;COLUMN()+1,FALSE)&lt;&gt;"",INDIRECT("R"&amp;ROW()&amp;"C"&amp;COLUMN()+2,FALSE)&lt;&gt;""),"　",""))))</f>
        <v/>
      </c>
      <c r="Z95" s="16" t="str">
        <f t="shared" si="2"/>
        <v/>
      </c>
    </row>
    <row r="96" spans="1:26">
      <c r="A96" s="18" t="str">
        <f>IF(B96&lt;&gt;"","操車研修　","")</f>
        <v/>
      </c>
      <c r="B96" s="19" t="str" cm="1">
        <f t="array" ref="B96">IFERROR( IF( INDEX( Sheet1!$A$15:H22, IFERROR( MATCH( "*操車*", Sheet1!$A$15:$A$22, 0 ), "" ), ((ROW()-6)/30)+4 ) = "", "", IFERROR( INDEX( Sheet1!$A$15:H22, IFERROR( MATCH( "*操車*", Sheet1!$A$15:$A$22, 0 ), "" ), ((ROW()-6)/30)+4 ) &amp; "(14時～20時)", "" ) ), "" )</f>
        <v/>
      </c>
      <c r="C96" s="16" t="str" cm="1">
        <f t="array" aca="1" ref="C96" ca="1">IF(INDIRECT("R"&amp;ROW()&amp;"C"&amp;COLUMN()-1,FALSE)="","",((IF(OR(INDIRECT("R"&amp;ROW()&amp;"C"&amp;COLUMN()+1,FALSE)&lt;&gt;"",INDIRECT("R"&amp;ROW()&amp;"C"&amp;COLUMN()+2,FALSE)&lt;&gt;""),"　",""))))</f>
        <v/>
      </c>
      <c r="D96" s="16" t="str" cm="1">
        <f t="array" aca="1" ref="D96" ca="1">IFERROR(
  IF(
    INDEX(
    INDIRECT( "Sheet1!A" &amp; MATCH( "*操車*", Sheet1!$A$15:$A$22, 0 ) + 15 )
    :Sheet1!H22,
    IFERROR(
      MATCH(
        "*操車*",
        INDIRECT( "Sheet1!A" &amp; MATCH( "*操車*", Sheet1!$A$15:$A$22, 0 ) + 15 )
        :Sheet1!$A$22,
        0
      ),
      ""
    ),
    ( (        ROW(
        ) - 6 ) / 30 ) + 4
    ) = "",
    "",
    IFERROR(
    INDEX(
      INDIRECT( "Sheet1!A" &amp; MATCH( "*操車*", Sheet1!$A$15:$A$22, 0 ) + 15 )
      :Sheet1!H22,
      IFERROR(
        MATCH(
        "*操車*",
        INDIRECT( "Sheet1!A" &amp; MATCH( "*操車*", Sheet1!$A$15:$A$22, 0 ) + 15 )
        :Sheet1!$A$22,
        0
        ),
        ""
      ),
      ( (        ROW(
        ) - 6 ) / 30 ) + 4
    ) &amp; "(14時～20時)",
    ""
    )
  ),
  ""
)</f>
        <v/>
      </c>
      <c r="J96" s="16" t="str">
        <f>IF(A96="","※操車研修","")</f>
        <v>※操車研修</v>
      </c>
      <c r="Z96" s="16" t="str">
        <f t="shared" si="2"/>
        <v/>
      </c>
    </row>
    <row r="97" spans="1:26">
      <c r="A97" s="18" t="s">
        <v>113</v>
      </c>
      <c r="B97" s="19" t="str">
        <f>IF( COUNTIF( Sheet1!G3:G6, "*:*" )=0, Sheet1!G3&amp;"　"&amp;Sheet1!G4, IF( COUNTIF( Sheet1!G3:G6, "*:*" )=1, Sheet1!G3&amp;" "&amp;Sheet1!G4&amp;"(～21時)", IF( COUNTIF( Sheet1!G3:G6, "*:*" )=2, SUBSTITUTE(SUBSTITUTE(Sheet1!G3&amp;CHAR(10)&amp;"(～21:00)",CHAR(10),""),"(～21:00)","")&amp;"(～21時) "&amp;"　"&amp;SUBSTITUTE(SUBSTITUTE(Sheet1!G4&amp;CHAR(10)&amp;"(～21:00)",CHAR(10),""),"(～21:00)","")&amp;"(～21時)" ) ) )</f>
        <v>土田 木　菅井 木</v>
      </c>
      <c r="C97" s="16" t="str" cm="1">
        <f t="array" aca="1" ref="C97" ca="1">IF(INDIRECT("R"&amp;ROW()&amp;"C"&amp;COLUMN()-1,FALSE)="","",((IF(OR(INDIRECT("R"&amp;ROW()&amp;"C"&amp;COLUMN()+1,FALSE)&lt;&gt;"",INDIRECT("R"&amp;ROW()&amp;"C"&amp;COLUMN()+2,FALSE)&lt;&gt;""),"　",""))))</f>
        <v/>
      </c>
      <c r="F97" s="117"/>
      <c r="Z97" s="16" t="str">
        <f t="shared" si="2"/>
        <v/>
      </c>
    </row>
    <row r="98" spans="1:26">
      <c r="A98" s="18" t="s">
        <v>114</v>
      </c>
      <c r="B98" s="19" t="str">
        <f>IF(COUNTIF(Sheet1!G3:G6,"*:*")=0, Sheet1!G5&amp;"　"&amp;Sheet1!G6, IF(COUNTIF(Sheet1!G3:G6,"*:*")=1, Sheet1!G6, IF(COUNTIF(Sheet1!G3:G6,"*:*")=2, "-")))</f>
        <v>三谷 木　黒木 木</v>
      </c>
      <c r="C98" s="16" t="str" cm="1">
        <f t="array" aca="1" ref="C98" ca="1">IF(INDIRECT("R"&amp;ROW()&amp;"C"&amp;COLUMN()-1,FALSE)="","",((IF(OR(INDIRECT("R"&amp;ROW()&amp;"C"&amp;COLUMN()+1,FALSE)&lt;&gt;"",INDIRECT("R"&amp;ROW()&amp;"C"&amp;COLUMN()+2,FALSE)&lt;&gt;""),"　",""))))</f>
        <v/>
      </c>
      <c r="Z98" s="16" t="str">
        <f t="shared" si="2"/>
        <v/>
      </c>
    </row>
    <row r="99" spans="1:26">
      <c r="A99" s="18" t="str">
        <f>IF(B99&lt;&gt;"","折早研修　","")</f>
        <v/>
      </c>
      <c r="B99" s="16" t="str" cm="1">
        <f t="array" ref="B99">IF(AND(COUNTIF(Sheet1!$A$15:$A$22,"*折防早番*")&gt;0,COUNTIF(Sheet1!$A$15:$A$22,"*折早*")&gt;0)=TRUE,"エラー！
Sheet1の見習欄の駅名を統一してください",
IFERROR(IF(INDEX(Sheet1!$A$15:G22,IFERROR(IFERROR(MATCH("*折防早番*",Sheet1!$A$15:$A$22,0),MATCH("*折早*",Sheet1!$A$15:$A$22,0)),""),((ROW()-9)/30)+4)="","",IFERROR(INDEX(Sheet1!$A$15:G22,IFERROR(IFERROR(MATCH("*折防早番*",Sheet1!$A$15:$A$22,0),MATCH("*折早*",Sheet1!$A$15:$A$22,0)),""),((ROW()-9)/30)+4)&amp;"(15時50分～19時)","")),"")
)</f>
        <v/>
      </c>
      <c r="C99" s="16" t="str" cm="1">
        <f t="array" aca="1" ref="C99" ca="1">IF(INDIRECT("R"&amp;ROW()&amp;"C"&amp;COLUMN()-1,FALSE)="","",((IF(OR(INDIRECT("R"&amp;ROW()&amp;"C"&amp;COLUMN()+1,FALSE)&lt;&gt;"",INDIRECT("R"&amp;ROW()&amp;"C"&amp;COLUMN()+2,FALSE)&lt;&gt;""),"　",""))))</f>
        <v/>
      </c>
      <c r="D99" s="16" t="str" cm="1">
        <f t="array" aca="1" ref="D99" ca="1">IF(AND(COUNTIF(Sheet1!$A$15:$A$22,"*折防早番*")&gt;0,COUNTIF(Sheet1!$A$15:$A$22,"*折早*")&gt;0)=TRUE,"エラー！
Sheet1の見習欄の駅名を統一してください",
IFERROR(
  IF(
    INDEX(
    INDIRECT( "Sheet1!A" &amp; MATCH( "*折防早番*", Sheet1!$A$15:$A$22, 0 ) + 15 )
    :Sheet1!H22,
    IFERROR(
      MATCH(
        "*折防早番*",
        INDIRECT( "Sheet1!A" &amp; MATCH( "*折防早番*", Sheet1!$A$15:$A$22, 0 ) + 15 )
        :Sheet1!$A$22,
        0
      ),
      ""
    ),
    ( (        ROW(
        ) - 9 ) / 30 ) + 4
    ) = "",
    "",
    IFERROR(
    INDEX(
      INDIRECT( "Sheet1!A" &amp; MATCH( "*折防早番*", Sheet1!$A$15:$A$22, 0 ) + 15 )
      :Sheet1!H22,
      IFERROR(
        MATCH(
        "*折防早番*",
        INDIRECT( "Sheet1!A" &amp; MATCH( "*折防早番*", Sheet1!$A$15:$A$22, 0 ) + 15 )
        :Sheet1!$A$22,
        0
        ),
        ""
      ),
      ( (        ROW(
        ) - 9 ) / 30 ) + 4
    ) &amp; "(15時50分～19時)",
    ""
    )
  ),
  ""
)
)</f>
        <v/>
      </c>
      <c r="E99" s="16" t="str" cm="1">
        <f t="array" aca="1" ref="E99" ca="1">IF(AND(COUNTIF(Sheet1!$A$15:$A$22,"*折防早番*")&gt;0,COUNTIF(Sheet1!$A$15:$A$22,"*折早*")&gt;0)=TRUE,"",
IFERROR(
  IF(
    INDEX(
    INDIRECT( "Sheet1!A" &amp; MATCH( "*折早*", Sheet1!$A$15:$A$22, 0 ) + 15 )
    :Sheet1!H22,
    IFERROR(
      MATCH(
        "*折早*",
        INDIRECT( "Sheet1!A" &amp; MATCH( "*折早*", Sheet1!$A$15:$A$22, 0 ) + 15 )
        :Sheet1!$A$22,
        0
      ),
      ""
    ),
    ( (        ROW(
        ) - 9 ) / 30 ) + 4
    ) = "",
    "",
    IFERROR(
    INDEX(
      INDIRECT( "Sheet1!A" &amp; MATCH( "*折早*", Sheet1!$A$15:$A$22, 0 ) + 15 )
      :Sheet1!H22,
      IFERROR(
        MATCH(
        "*折早*",
        INDIRECT( "Sheet1!A" &amp; MATCH( "*折早*", Sheet1!$A$15:$A$22, 0 ) + 15 )
        :Sheet1!$A$22,
        0
        ),
        ""
      ),
      ( (        ROW(
        ) - 9 ) / 30 ) + 4
    ) &amp; "(15時50分～19時)",
    ""
    )
  ),
  ""
)
)</f>
        <v/>
      </c>
      <c r="F99" s="67"/>
      <c r="J99" s="16" t="str">
        <f>IF(A99="","※折早研修","")</f>
        <v>※折早研修</v>
      </c>
      <c r="Z99" s="16" t="str">
        <f t="shared" si="2"/>
        <v/>
      </c>
    </row>
    <row r="100" spans="1:26">
      <c r="A100" s="18" t="str">
        <f>IF(B100&lt;&gt;"","折遅研修　","")</f>
        <v/>
      </c>
      <c r="B100" s="16" t="str" cm="1">
        <f t="array" ref="B100">IF(AND(COUNTIF(Sheet1!$A$15:$A$22,"*折防遅番*")&gt;0,COUNTIF(Sheet1!$A$15:$A$22,"*折遅*")&gt;0)=TRUE,"エラー！Sheet1の見習欄の駅名を統一してください",
IFERROR(IF(INDEX(Sheet1!$A$15:G22,IFERROR(IFERROR(MATCH("*折防遅番*",Sheet1!$A$15:$A$22,0),MATCH("*折遅*",Sheet1!$A$15:$A$22,0)),""),((ROW()-10)/30)+4)="","",IFERROR(INDEX(Sheet1!$A$15:G22,IFERROR(IFERROR(MATCH("*折防遅番*",Sheet1!$A$15:$A$22,0),MATCH("*折遅*",Sheet1!$A$15:$A$22,0)),""),((ROW()-10)/30)+4)&amp;"(17時～21時)","")),"")
)</f>
        <v/>
      </c>
      <c r="C100" s="16" t="str" cm="1">
        <f t="array" aca="1" ref="C100" ca="1">IF(INDIRECT("R"&amp;ROW()&amp;"C"&amp;COLUMN()-1,FALSE)="","",((IF(OR(INDIRECT("R"&amp;ROW()&amp;"C"&amp;COLUMN()+1,FALSE)&lt;&gt;"",INDIRECT("R"&amp;ROW()&amp;"C"&amp;COLUMN()+2,FALSE)&lt;&gt;""),"　",""))))</f>
        <v/>
      </c>
      <c r="D100" s="16" t="str" cm="1">
        <f t="array" aca="1" ref="D100" ca="1">IF(AND(COUNTIF(Sheet1!$A$15:$A$22,"*折防遅番*")&gt;0,COUNTIF(Sheet1!$A$15:$A$22,"*折遅*")&gt;0)=TRUE,"エラー！
Sheet1の見習欄の駅名を統一してください",
IFERROR(
  IF(
    INDEX(
    INDIRECT( "Sheet1!A" &amp; MATCH( "*折防遅番*", Sheet1!$A$15:$A$22, 0 ) + 15 )
    :Sheet1!G22,
    IFERROR(
      MATCH(
        "*折防遅番*",
        INDIRECT( "Sheet1!A" &amp; MATCH( "*折防遅番*", Sheet1!$A$15:$A$22, 0 ) + 15 )
        :Sheet1!$A$22,
        0
      ),
      ""
    ),
    ( (        ROW(
        ) - 10 ) / 30 ) + 4
    ) = "",
    "",
    IFERROR(
    INDEX(
      INDIRECT( "Sheet1!A" &amp; MATCH( "*折防遅番*", Sheet1!$A$15:$A$22, 0 ) + 15 )
      :Sheet1!G22,
      IFERROR(
        MATCH(
        "*折防遅番*",
        INDIRECT( "Sheet1!A" &amp; MATCH( "*折防遅番*", Sheet1!$A$15:$A$22, 0 ) + 15 )
        :Sheet1!$A$22,
        0
        ),
        ""
      ),
      ( (        ROW(
        ) - 10 ) / 30 ) + 4
    ) &amp; "(17時～21時)",
    ""
    )
  ),
  ""
)
)</f>
        <v/>
      </c>
      <c r="E100" s="16" t="str" cm="1">
        <f t="array" aca="1" ref="E100" ca="1">IF(AND(COUNTIF(Sheet1!$A$15:$A$22,"*折防遅番*")&gt;0,COUNTIF(Sheet1!$A$15:$A$22,"*折遅*")&gt;0)=TRUE,"",
IFERROR(
  IF(
    INDEX(
    INDIRECT( "Sheet1!A" &amp; MATCH( "*折遅*", Sheet1!$A$15:$A$22, 0 ) + 15 )
    :Sheet1!G22,
    IFERROR(
      MATCH(
        "*折遅*",
        INDIRECT( "Sheet1!A" &amp; MATCH( "*折遅*", Sheet1!$A$15:$A$22, 0 ) + 15 )
        :Sheet1!$A$22,
        0
      ),
      ""
    ),
    ( (        ROW(
        ) - 10 ) / 30 ) + 4
    ) = "",
    "",
    IFERROR(
    INDEX(
      INDIRECT( "Sheet1!A" &amp; MATCH( "*折遅*", Sheet1!$A$15:$A$22, 0 ) + 15 )
      :Sheet1!G22,
      IFERROR(
        MATCH(
        "*折遅*",
        INDIRECT( "Sheet1!A" &amp; MATCH( "*折遅*", Sheet1!$A$15:$A$22, 0 ) + 15 )
        :Sheet1!$A$22,
        0
        ),
        ""
      ),
      ( (        ROW(
        ) - 10 ) / 30 ) + 4
    ) &amp; "(17～21時)",
    ""
    )
  ),
  ""
)
)</f>
        <v/>
      </c>
      <c r="F100" s="67"/>
      <c r="J100" s="16" t="str">
        <f>IF(A100="","※折遅研修","")</f>
        <v>※折遅研修</v>
      </c>
      <c r="Z100" s="16" t="str">
        <f t="shared" si="2"/>
        <v/>
      </c>
    </row>
    <row r="101" spans="1:26">
      <c r="A101" s="18" t="str">
        <f>IF(B101&lt;&gt;"","折防ロング研修","")</f>
        <v/>
      </c>
      <c r="B101" s="16" t="str" cm="1">
        <f t="array" ref="B101">IF(AND(COUNTIF(Sheet1!$A$15:$A$22,"*折防ロング*")&gt;0,COUNTIF(Sheet1!$A$15:$A$22,"*折ロング*")&gt;0)=TRUE,"エラー！
Sheet1の見習欄の駅名を統一してください",
IFERROR(IF(INDEX(Sheet1!$A$15:G22,IFERROR(IFERROR(MATCH("*折防ロング*",Sheet1!$A$15:$A$22,0),MATCH("*折ロング*",Sheet1!$A$15:$A$22,0)),""),((ROW()-11)/30)+4)="","",IFERROR(INDEX(Sheet1!$A$15:G22,IFERROR(IFERROR(MATCH("*折防ロング*",Sheet1!$A$15:$A$22,0),MATCH("*折ロング*",Sheet1!$A$15:$A$22,0)),""),((ROW()-11)/30)+4)&amp;"(15時50分～21時)","")),"")
)</f>
        <v/>
      </c>
      <c r="C101" s="16" t="str" cm="1">
        <f t="array" aca="1" ref="C101" ca="1">IF(INDIRECT("R"&amp;ROW()&amp;"C"&amp;COLUMN()-1,FALSE)="","",((IF(OR(INDIRECT("R"&amp;ROW()&amp;"C"&amp;COLUMN()+1,FALSE)&lt;&gt;"",INDIRECT("R"&amp;ROW()&amp;"C"&amp;COLUMN()+2,FALSE)&lt;&gt;""),"　",""))))</f>
        <v/>
      </c>
      <c r="D101" s="16" t="str" cm="1">
        <f t="array" aca="1" ref="D101" ca="1">IFERROR(
  IF(
    INDEX(
    INDIRECT( "Sheet1!A" &amp; MATCH( "*折防ロング*", Sheet1!$A$15:$A$22, 0 ) + 15 )
    :Sheet1!G22,
    IFERROR(
      MATCH(
        "*折防ロング*",
        INDIRECT( "Sheet1!A" &amp; MATCH( "*折防ロング*", Sheet1!$A$15:$A$22, 0 ) + 15 )
        :Sheet1!$A$22,
        0
      ),
      ""
    ),
    ( (        ROW(
        ) - 11 ) / 30 ) + 4
    ) = "",
    "",
    IFERROR(
    INDEX(
      INDIRECT( "Sheet1!A" &amp; MATCH( "*折防ロング*", Sheet1!$A$15:$A$22, 0 ) + 15 )
      :Sheet1!G22,
      IFERROR(
        MATCH(
        "*折防ロング*",
        INDIRECT( "Sheet1!A" &amp; MATCH( "*折防ロング*", Sheet1!$A$15:$A$22, 0 ) + 15 )
        :Sheet1!$A$22,
        0
        ),
        ""
      ),
      ( (        ROW(
        ) - 11 ) / 30 ) + 4
    ) &amp; "(15時50分～21時)",
    ""
    )
  ),
  ""
)</f>
        <v/>
      </c>
      <c r="F101" s="67"/>
      <c r="J101" s="16" t="str">
        <f>IF(A101="","※折防ロング研修","")</f>
        <v>※折防ロング研修</v>
      </c>
      <c r="Z101" s="16" t="str">
        <f t="shared" si="2"/>
        <v/>
      </c>
    </row>
    <row r="102" spans="1:26">
      <c r="A102" s="18"/>
      <c r="B102" s="16" t="s">
        <v>6</v>
      </c>
      <c r="C102" s="16" t="str" cm="1">
        <f t="array" aca="1" ref="C102" ca="1">IF(INDIRECT("R"&amp;ROW()&amp;"C"&amp;COLUMN()-1,FALSE)="","",((IF(OR(INDIRECT("R"&amp;ROW()&amp;"C"&amp;COLUMN()+1,FALSE)&lt;&gt;"",INDIRECT("R"&amp;ROW()&amp;"C"&amp;COLUMN()+2,FALSE)&lt;&gt;""),"　",""))))</f>
        <v/>
      </c>
      <c r="F102" s="67"/>
      <c r="Z102" s="16" t="str">
        <f t="shared" si="2"/>
        <v/>
      </c>
    </row>
    <row r="103" spans="1:26">
      <c r="A103" s="66" t="s">
        <v>20</v>
      </c>
      <c r="B103" s="16" t="s">
        <v>6</v>
      </c>
      <c r="C103" s="16" t="str" cm="1">
        <f t="array" aca="1" ref="C103" ca="1">IF(INDIRECT("R"&amp;ROW()&amp;"C"&amp;COLUMN()-1,FALSE)="","",((IF(OR(INDIRECT("R"&amp;ROW()&amp;"C"&amp;COLUMN()+1,FALSE)&lt;&gt;"",INDIRECT("R"&amp;ROW()&amp;"C"&amp;COLUMN()+2,FALSE)&lt;&gt;""),"　",""))))</f>
        <v/>
      </c>
      <c r="Z103" s="16" t="str">
        <f t="shared" si="2"/>
        <v/>
      </c>
    </row>
    <row r="104" spans="1:26">
      <c r="A104" s="67" t="s">
        <v>217</v>
      </c>
      <c r="B104" s="16" t="str">
        <f>IF(Sheet1!G7="","",
IF(COUNTIF(Sheet1!G7,"*:*")=1,SUBSTITUTE(SUBSTITUTE(Sheet1!G7&amp;CHAR(10)&amp;"(～20:30)",CHAR(10),""),"(～20:30)","")&amp;"(～20時30分)",Sheet1!G7)
)</f>
        <v>相良 木</v>
      </c>
      <c r="C104" s="16" t="str" cm="1">
        <f t="array" aca="1" ref="C104" ca="1">IF(INDIRECT("R"&amp;ROW()&amp;"C"&amp;COLUMN()-1,FALSE)="","",((IF(OR(INDIRECT("R"&amp;ROW()&amp;"C"&amp;COLUMN()+1,FALSE)&lt;&gt;"",INDIRECT("R"&amp;ROW()&amp;"C"&amp;COLUMN()+2,FALSE)&lt;&gt;""),"　",""))))</f>
        <v/>
      </c>
      <c r="Z104" s="16" t="str">
        <f t="shared" si="2"/>
        <v/>
      </c>
    </row>
    <row r="105" spans="1:26">
      <c r="A105" s="67" t="s">
        <v>218</v>
      </c>
      <c r="B105" s="16" t="str">
        <f>IF(
  COUNTIF(
    Sheet1!G8:G11,
    "*:*"
  ) = 0,
  Sheet1!G8 &amp; "　" &amp; Sheet1!G9,
  IF(
    COUNTIF(
    Sheet1!G8:G11,
    "*:*"
    ) = 1,
    Sheet1!G8 &amp; "　" &amp;
SUBSTITUTE(
    SUBSTITUTE(
    Sheet1!G9 &amp;
    CHAR(
      10
    ) &amp; "(～20:30)",
    CHAR(
      10
    ),
    ""
    ),
    "(～20:30)",
    ""
  )
 &amp; "(～20時30分)",
    IF(
    COUNTIF(
      Sheet1!G8:G11,
      "*:*"
    ) = 2,
    SUBSTITUTE(
    SUBSTITUTE(
    Sheet1!G8 &amp;
    CHAR(
      10
    ) &amp; "(～20:30)",
    CHAR(
      10
    ),
    ""
    ),
    "(～20:30)",
    ""
  )
&amp; "(～20時30分) " &amp;
SUBSTITUTE(
    SUBSTITUTE(
    Sheet1!G9 &amp;
    CHAR(
      10
    ) &amp; "(～20:30)",
    CHAR(
      10
    ),
    ""
    ),
    "(～20:30)",
    ""
  )
 &amp; "(～20時30分)"
    )
  )
)</f>
        <v>北原 木　二瓶 木</v>
      </c>
      <c r="C105" s="16" t="str" cm="1">
        <f t="array" aca="1" ref="C105" ca="1">IF(INDIRECT("R"&amp;ROW()&amp;"C"&amp;COLUMN()-1,FALSE)="","",((IF(OR(INDIRECT("R"&amp;ROW()&amp;"C"&amp;COLUMN()+1,FALSE)&lt;&gt;"",INDIRECT("R"&amp;ROW()&amp;"C"&amp;COLUMN()+2,FALSE)&lt;&gt;""),"　",""))))</f>
        <v/>
      </c>
      <c r="Z105" s="16" t="str">
        <f t="shared" si="2"/>
        <v/>
      </c>
    </row>
    <row r="106" spans="1:26">
      <c r="A106" s="67" t="s">
        <v>219</v>
      </c>
      <c r="B106" s="16" t="str">
        <f>IF(COUNTIF(Sheet1!G8:G11,"*:*")=0, Sheet1!G10&amp;"　"&amp;Sheet1!G11, IF(COUNTIF(Sheet1!G8:G11,"*:*")=1,Sheet1!G11, IF(COUNTIF(Sheet1!G8:G11,"*:*")=2, "-")))</f>
        <v>神谷 木　三上 木</v>
      </c>
      <c r="C106" s="16" t="str" cm="1">
        <f t="array" aca="1" ref="C106" ca="1">IF(INDIRECT("R"&amp;ROW()&amp;"C"&amp;COLUMN()-1,FALSE)="","",((IF(OR(INDIRECT("R"&amp;ROW()&amp;"C"&amp;COLUMN()+1,FALSE)&lt;&gt;"",INDIRECT("R"&amp;ROW()&amp;"C"&amp;COLUMN()+2,FALSE)&lt;&gt;""),"　",""))))</f>
        <v/>
      </c>
      <c r="Z106" s="16" t="str">
        <f t="shared" si="2"/>
        <v/>
      </c>
    </row>
    <row r="107" spans="1:26">
      <c r="A107" s="67" t="str">
        <f>IF(B107&lt;&gt;"","早番研修","")</f>
        <v/>
      </c>
      <c r="B107" s="16" t="str" cm="1">
        <f t="array" ref="B107">IFERROR(IF(INDEX(Sheet1!$A$15:G22,IFERROR(MATCH("烏丸早番",Sheet1!$A$15:$A$22,0),""),((ROW()-17)/30)+4)="","",IFERROR(INDEX(Sheet1!$A$15:G22,IFERROR(MATCH("烏丸早番",Sheet1!$A$15:$A$22,0),""),((ROW()-17)/30)+4)&amp;"(17時～19時)","")),"")</f>
        <v/>
      </c>
      <c r="C107" s="16" t="str" cm="1">
        <f t="array" aca="1" ref="C107" ca="1">IF(INDIRECT("R"&amp;ROW()&amp;"C"&amp;COLUMN()-1,FALSE)="","",((IF(OR(INDIRECT("R"&amp;ROW()&amp;"C"&amp;COLUMN()+1,FALSE)&lt;&gt;"",INDIRECT("R"&amp;ROW()&amp;"C"&amp;COLUMN()+2,FALSE)&lt;&gt;""),"　",""))))</f>
        <v/>
      </c>
      <c r="D107" s="16" t="str" cm="1">
        <f t="array" aca="1" ref="D107" ca="1">IFERROR(
  IF(
    INDEX(
    INDIRECT( "Sheet1!A" &amp; MATCH( "烏丸早番", Sheet1!$A$15:$A$22, 0 ) + 15 )
    :Sheet1!G22,
    IFERROR(
      MATCH(
        "烏丸早番",
        INDIRECT( "Sheet1!A" &amp; MATCH( "烏丸早番", Sheet1!$A$15:$A$22, 0 ) + 15 )
        :Sheet1!$A$22,
        0
      ),
      ""
    ),
    ( (        ROW(
        ) - 17 ) / 30 ) + 4
    ) = "",
    "",
    IFERROR(
    INDEX(
      INDIRECT( "Sheet1!A" &amp; MATCH( "烏丸早番", Sheet1!$A$15:$A$22, 0 ) + 15 )
      :Sheet1!G22,
      IFERROR(
        MATCH(
        "烏丸早番",
        INDIRECT( "Sheet1!A" &amp; MATCH( "烏丸早番", Sheet1!$A$15:$A$22, 0 ) + 15 )
        :Sheet1!$A$22,
        0
        ),
        ""
      ),
      ( (        ROW(
        ) - 17 ) / 30 ) + 4
    ) &amp; "(17時～19時)",
    ""
    )
  ),
  ""
)</f>
        <v/>
      </c>
      <c r="J107" s="16" t="str">
        <f>IF(A107="","※烏丸早番研修","")</f>
        <v>※烏丸早番研修</v>
      </c>
      <c r="Z107" s="16" t="str">
        <f t="shared" si="2"/>
        <v/>
      </c>
    </row>
    <row r="108" spans="1:26">
      <c r="A108" s="67" t="str">
        <f>IF(B108&lt;&gt;"","遅番研修","")</f>
        <v/>
      </c>
      <c r="B108" s="16" t="str" cm="1">
        <f t="array" ref="B108">IFERROR(IF(INDEX(Sheet1!$A$15:G22,IFERROR(MATCH("*烏丸遅番*",Sheet1!$A$15:$A$22,0),""),((ROW()-18)/30)+4)="","",IFERROR(INDEX(Sheet1!$A$15:G22,IFERROR(MATCH("*烏丸遅番*",Sheet1!$A$15:$A$22,0),""),((ROW()-18)/30)+4)&amp;"(18時～20時30分)","")),"")</f>
        <v/>
      </c>
      <c r="C108" s="16" t="str" cm="1">
        <f t="array" aca="1" ref="C108" ca="1">IF(INDIRECT("R"&amp;ROW()&amp;"C"&amp;COLUMN()-1,FALSE)="","",((IF(OR(INDIRECT("R"&amp;ROW()&amp;"C"&amp;COLUMN()+1,FALSE)&lt;&gt;"",INDIRECT("R"&amp;ROW()&amp;"C"&amp;COLUMN()+2,FALSE)&lt;&gt;""),"　",""))))</f>
        <v/>
      </c>
      <c r="D108" s="16" t="str" cm="1">
        <f t="array" aca="1" ref="D108" ca="1">IFERROR(
  IF(
    INDEX(
    INDIRECT( "Sheet1!A" &amp; MATCH( "*烏丸遅番*", Sheet1!$A$15:$A$22, 0 ) + 15 )
    :Sheet1!G22,
    IFERROR(
      MATCH(
        "*烏丸遅番*",
        INDIRECT( "Sheet1!A" &amp; MATCH( "*烏丸遅番*", Sheet1!$A$15:$A$22, 0 ) + 15 )
        :Sheet1!$A$22,
        0
      ),
      ""
    ),
    ( (        ROW(
        ) - 18 ) / 30 ) + 4
    ) = "",
    "",
    IFERROR(
    INDEX(
      INDIRECT( "Sheet1!A" &amp; MATCH( "*烏丸遅番*", Sheet1!$A$15:$A$22, 0 ) + 15 )
      :Sheet1!G22,
      IFERROR(
        MATCH(
        "*烏丸遅番*",
        INDIRECT( "Sheet1!A" &amp; MATCH( "*烏丸遅番*", Sheet1!$A$15:$A$22, 0 ) + 15 )
        :Sheet1!$A$22,
        0
        ),
        ""
      ),
      ( (        ROW(
        ) - 18 ) / 30 ) + 4
    ) &amp; "(18時～20時30分)",
    ""
    )
  ),
  ""
)</f>
        <v/>
      </c>
      <c r="J108" s="16" t="str">
        <f>IF(A108="","※烏丸遅番研修","")</f>
        <v>※烏丸遅番研修</v>
      </c>
      <c r="Z108" s="16" t="str">
        <f t="shared" si="2"/>
        <v/>
      </c>
    </row>
    <row r="109" spans="1:26">
      <c r="A109" s="67" t="str">
        <f>IF(B109&lt;&gt;"","早番ロング研修","")</f>
        <v/>
      </c>
      <c r="B109" s="16" t="str" cm="1">
        <f t="array" ref="B109">IF(AND(COUNTIF(Sheet1!$A$15:$A$22,"烏丸早番ロング")&gt;0,COUNTIF(Sheet1!$A$15:$A$22,"烏丸ロング")&gt;0)=TRUE,"エラー！
Sheet1の見習欄の駅名を統一してください",
IF(IFERROR(IFERROR(INDEX(Sheet1!$A$15:G22,IFERROR(MATCH("烏丸早番ロング",Sheet1!$A$15:$A$22,0),""),((ROW()-17)/30)+4),INDEX(Sheet1!$A$15:G22,IFERROR(MATCH("烏丸ロング",Sheet1!$A$15:$A$22,0),""),((ROW()-19)/30)+4)),"")&lt;&gt;"",
IFERROR(IFERROR(INDEX(Sheet1!$A$15:G22,IFERROR(MATCH("烏丸早番ロング",Sheet1!$A$15:$A$22,0),""),((ROW()-17)/30)+4),INDEX(Sheet1!$A$15:G22,IFERROR(MATCH("烏丸ロング",Sheet1!$A$15:$A$22,0),""),((ROW()-19)/30)+4)),"")&amp;"(17時～20時30分)",""))</f>
        <v/>
      </c>
      <c r="C109" s="16" t="str" cm="1">
        <f t="array" aca="1" ref="C109" ca="1">IF(INDIRECT("R"&amp;ROW()&amp;"C"&amp;COLUMN()-1,FALSE)="","",((IF(OR(INDIRECT("R"&amp;ROW()&amp;"C"&amp;COLUMN()+1,FALSE)&lt;&gt;"",INDIRECT("R"&amp;ROW()&amp;"C"&amp;COLUMN()+2,FALSE)&lt;&gt;""),"　",""))))</f>
        <v/>
      </c>
      <c r="D109" s="122" t="str" cm="1">
        <f t="array" aca="1" ref="D109" ca="1">IF(AND(COUNTIF(Sheet1!$A$15:$A$22,"烏丸早番ロング")&gt;0,COUNTIF(Sheet1!$A$15:$A$22,"烏丸ロング")&gt;0)=TRUE,"エラー！Sheet1の見習欄の駅名を統一してください",IF(
IFERROR(
IFERROR(
INDEX(
INDIRECT("Sheet1!A"&amp;MATCH("烏丸早番ロング",Sheet1!$A$15:$A$22,0)+15)
:Sheet1!G22,
IFERROR(
MATCH(
"烏丸早番ロング",
INDIRECT("Sheet1!A"&amp;MATCH("烏丸早番ロング",Sheet1!$A$15:$A$22,0)+15)
:Sheet1!$A$22,
0
),
""
),
((ROW(
)-19)/30)+4
),
INDEX(
INDIRECT("Sheet1!A"&amp;MATCH("烏丸早番ロング",Sheet1!$A$15:$A$22,0)+15)
:Sheet1!G22,
IFERROR(
MATCH(
"烏丸ロング",
INDIRECT("Sheet1!A"&amp;MATCH("烏丸早番ロング",Sheet1!$A$15:$A$22,0)+15)
:Sheet1!$A$22,
0
),
""
),
((ROW(
)-19)/30)+4
)
),
""
)&lt;&gt;"",
IFERROR(
IFERROR(
INDEX(
INDIRECT("Sheet1!A"&amp;MATCH("烏丸早番ロング",Sheet1!$A$15:$A$22,0)+15)
:Sheet1!G22,
IFERROR(
MATCH(
"烏丸早番ロング",
INDIRECT("Sheet1!A"&amp;MATCH("烏丸早番ロング",Sheet1!$A$15:$A$22,0)+15)
:Sheet1!$A$22,
0
),
""
),
((ROW(
)-19)/30)+4
),
INDEX(
INDIRECT("Sheet1!A"&amp;MATCH("烏丸早番ロング",Sheet1!$A$15:$A$22,0)+15)
:Sheet1!G22,
IFERROR(
MATCH(
"烏丸ロング",
INDIRECT("Sheet1!A"&amp;MATCH("烏丸早番ロング",Sheet1!$A$15:$A$22,0)+15)
:Sheet1!$A$22,
0
),
""
),
((ROW(
)-19)/30)+4
)
),
""
)&amp;"(17時～20時30分)",
""
))</f>
        <v/>
      </c>
      <c r="E109" s="16" t="str" cm="1">
        <f t="array" aca="1" ref="E109" ca="1">IF(AND(COUNTIF(Sheet1!$A$15:$A$22,"烏丸早番ロング")&gt;0,COUNTIF(Sheet1!$A$15:$A$22,"烏丸ロング")&gt;0)=TRUE,"エラー！
Sheet1の見習欄の駅名を統一してください",
IFERROR(
  IF(
    INDEX(
    INDIRECT( "Sheet1!A" &amp; MATCH( "*烏丸ロング*", Sheet1!$A$15:$A$22, 0 ) + 15 )
    :Sheet1!G22,
    IFERROR(
      MATCH(
        "*烏丸ロング*",
        INDIRECT( "Sheet1!A" &amp; MATCH( "*烏丸ロング*", Sheet1!$A$15:$A$22, 0 ) + 15 )
        :Sheet1!$A$22,
        0
      ),
      ""
    ),
    ( (        ROW(
        ) - 18 ) / 30 ) + 4
    ) = "",
    "",
    IFERROR(
    INDEX(
      INDIRECT( "Sheet1!A" &amp; MATCH( "*烏丸ロング*", Sheet1!$A$15:$A$22, 0 ) + 15 )
      :Sheet1!G22,
      IFERROR(
        MATCH(
        "*烏丸ロング*",
        INDIRECT( "Sheet1!A" &amp; MATCH( "*烏丸ロング*", Sheet1!$A$15:$A$22, 0 ) + 15 )
        :Sheet1!$A$22,
        0
        ),
        ""
      ),
      ( (        ROW(
        ) - 18 ) / 30 ) + 4
    ) &amp; "(17時～20時30分)",
    ""
    )
  ),
  ""
))</f>
        <v/>
      </c>
      <c r="J109" s="16" t="str">
        <f>IF(A109="","※烏丸早番ロング研修","")</f>
        <v>※烏丸早番ロング研修</v>
      </c>
      <c r="Z109" s="16" t="str">
        <f t="shared" si="2"/>
        <v/>
      </c>
    </row>
    <row r="110" spans="1:26">
      <c r="A110" s="67"/>
      <c r="B110" s="16" t="s">
        <v>6</v>
      </c>
      <c r="C110" s="16" t="str" cm="1">
        <f t="array" aca="1" ref="C110" ca="1">IF(INDIRECT("R"&amp;ROW()&amp;"C"&amp;COLUMN()-1,FALSE)="","",((IF(OR(INDIRECT("R"&amp;ROW()&amp;"C"&amp;COLUMN()+1,FALSE)&lt;&gt;"",INDIRECT("R"&amp;ROW()&amp;"C"&amp;COLUMN()+2,FALSE)&lt;&gt;""),"　",""))))</f>
        <v/>
      </c>
      <c r="D110" s="122"/>
      <c r="Z110" s="16" t="str">
        <f t="shared" si="2"/>
        <v/>
      </c>
    </row>
    <row r="111" spans="1:26">
      <c r="A111" s="66" t="s">
        <v>21</v>
      </c>
      <c r="B111" s="16" t="s">
        <v>6</v>
      </c>
      <c r="C111" s="16" t="str" cm="1">
        <f t="array" aca="1" ref="C111" ca="1">IF(INDIRECT("R"&amp;ROW()&amp;"C"&amp;COLUMN()-1,FALSE)="","",((IF(OR(INDIRECT("R"&amp;ROW()&amp;"C"&amp;COLUMN()+1,FALSE)&lt;&gt;"",INDIRECT("R"&amp;ROW()&amp;"C"&amp;COLUMN()+2,FALSE)&lt;&gt;""),"　",""))))</f>
        <v/>
      </c>
      <c r="Z111" s="16" t="str">
        <f t="shared" si="2"/>
        <v/>
      </c>
    </row>
    <row r="112" spans="1:26">
      <c r="A112" s="67" t="s">
        <v>211</v>
      </c>
      <c r="B112" s="16" t="str">
        <f>IF(Sheet1!G12&lt;&gt;"",Sheet1!G12,"")</f>
        <v>五味 木</v>
      </c>
      <c r="C112" s="16" t="str" cm="1">
        <f t="array" aca="1" ref="C112" ca="1">IF(INDIRECT("R"&amp;ROW()&amp;"C"&amp;COLUMN()-1,FALSE)="","",((IF(OR(INDIRECT("R"&amp;ROW()&amp;"C"&amp;COLUMN()+1,FALSE)&lt;&gt;"",INDIRECT("R"&amp;ROW()&amp;"C"&amp;COLUMN()+2,FALSE)&lt;&gt;""),"　",""))))</f>
        <v/>
      </c>
      <c r="Z112" s="16" t="str">
        <f t="shared" si="2"/>
        <v/>
      </c>
    </row>
    <row r="113" spans="1:26">
      <c r="A113" s="67" t="str">
        <f>IF(B113&lt;&gt;"","大宮上り研修","")</f>
        <v/>
      </c>
      <c r="B113" s="16" t="str" cm="1">
        <f t="array" ref="B113">IFERROR(IF(INDEX(Sheet1!$A$15:G22,IFERROR(MATCH("*大宮*",Sheet1!$A$15:$A$22,0),""),((ROW()-23)/30)+4)="","",IFERROR(INDEX(Sheet1!$A$15:G22,IFERROR(MATCH("*大宮*",Sheet1!$A$15:$A$22,0),""),((ROW()-23)/30)+4)&amp;"(17時30分～19時30分)","")),"")</f>
        <v/>
      </c>
      <c r="C113" s="16" t="str" cm="1">
        <f t="array" aca="1" ref="C113" ca="1">IF(INDIRECT("R"&amp;ROW()&amp;"C"&amp;COLUMN()-1,FALSE)="","",((IF(OR(INDIRECT("R"&amp;ROW()&amp;"C"&amp;COLUMN()+1,FALSE)&lt;&gt;"",INDIRECT("R"&amp;ROW()&amp;"C"&amp;COLUMN()+2,FALSE)&lt;&gt;""),"　",""))))</f>
        <v/>
      </c>
      <c r="D113" s="16" t="str" cm="1">
        <f t="array" aca="1" ref="D113" ca="1">IFERROR(
  IF(
    INDEX(
    INDIRECT( "Sheet1!A" &amp; MATCH( "*大宮*", Sheet1!$A$15:$A$22, 0 ) + 15 )
    :Sheet1!G22,
    IFERROR(
      MATCH(
        "*大宮*",
        INDIRECT( "Sheet1!A" &amp; MATCH( "*大宮*", Sheet1!$A$15:$A$22, 0 ) + 15 )
        :Sheet1!$A$22,
        0
      ),
      ""
    ),
    ( (        ROW(
        ) - 23 ) / 30 ) + 4
    ) = "",
    "",
    IFERROR(
    INDEX(
      INDIRECT( "Sheet1!A" &amp; MATCH( "*大宮*", Sheet1!$A$15:$A$22, 0 ) + 15 )
      :Sheet1!G22,
      IFERROR(
        MATCH(
        "*大宮*",
        INDIRECT( "Sheet1!A" &amp; MATCH( "*大宮*", Sheet1!$A$15:$A$22, 0 ) + 15 )
        :Sheet1!$A$22,
        0
        ),
        ""
      ),
      ( (        ROW(
        ) - 23 ) / 30 ) + 4
    ) &amp; "(17時30分～19時30分)",
    ""
    )
  ),
  ""
)</f>
        <v/>
      </c>
      <c r="J113" s="16" t="str">
        <f>IF(A113="","※大宮上り研修","")</f>
        <v>※大宮上り研修</v>
      </c>
      <c r="Z113" s="16" t="str">
        <f t="shared" si="2"/>
        <v/>
      </c>
    </row>
    <row r="114" spans="1:26">
      <c r="A114" s="67"/>
      <c r="B114" s="16" t="s">
        <v>6</v>
      </c>
      <c r="C114" s="16" t="str" cm="1">
        <f t="array" aca="1" ref="C114" ca="1">IF(INDIRECT("R"&amp;ROW()&amp;"C"&amp;COLUMN()-1,FALSE)="","",((IF(OR(INDIRECT("R"&amp;ROW()&amp;"C"&amp;COLUMN()+1,FALSE)&lt;&gt;"",INDIRECT("R"&amp;ROW()&amp;"C"&amp;COLUMN()+2,FALSE)&lt;&gt;""),"　",""))))</f>
        <v/>
      </c>
      <c r="Z114" s="16" t="str">
        <f t="shared" si="2"/>
        <v/>
      </c>
    </row>
    <row r="115" spans="1:26">
      <c r="A115" s="66" t="s">
        <v>22</v>
      </c>
      <c r="B115" s="16" t="s">
        <v>6</v>
      </c>
      <c r="C115" s="16" t="str" cm="1">
        <f t="array" aca="1" ref="C115" ca="1">IF(INDIRECT("R"&amp;ROW()&amp;"C"&amp;COLUMN()-1,FALSE)="","",((IF(OR(INDIRECT("R"&amp;ROW()&amp;"C"&amp;COLUMN()+1,FALSE)&lt;&gt;"",INDIRECT("R"&amp;ROW()&amp;"C"&amp;COLUMN()+2,FALSE)&lt;&gt;""),"　",""))))</f>
        <v/>
      </c>
      <c r="Z115" s="16" t="str">
        <f t="shared" si="2"/>
        <v/>
      </c>
    </row>
    <row r="116" spans="1:26">
      <c r="A116" s="67" t="s">
        <v>212</v>
      </c>
      <c r="B116" s="16" t="str">
        <f>IF(Sheet1!G13&lt;&gt;"",Sheet1!G13,"")</f>
        <v>片野 木</v>
      </c>
      <c r="C116" s="16" t="str" cm="1">
        <f t="array" aca="1" ref="C116" ca="1">IF(INDIRECT("R"&amp;ROW()&amp;"C"&amp;COLUMN()-1,FALSE)="","",((IF(OR(INDIRECT("R"&amp;ROW()&amp;"C"&amp;COLUMN()+1,FALSE)&lt;&gt;"",INDIRECT("R"&amp;ROW()&amp;"C"&amp;COLUMN()+2,FALSE)&lt;&gt;""),"　",""))))</f>
        <v/>
      </c>
      <c r="Z116" s="16" t="str">
        <f t="shared" si="2"/>
        <v/>
      </c>
    </row>
    <row r="117" spans="1:26">
      <c r="A117" s="67"/>
      <c r="B117" s="16" t="s">
        <v>6</v>
      </c>
      <c r="C117" s="16" t="str" cm="1">
        <f t="array" aca="1" ref="C117" ca="1">IF(INDIRECT("R"&amp;ROW()&amp;"C"&amp;COLUMN()-1,FALSE)="","",((IF(OR(INDIRECT("R"&amp;ROW()&amp;"C"&amp;COLUMN()+1,FALSE)&lt;&gt;"",INDIRECT("R"&amp;ROW()&amp;"C"&amp;COLUMN()+2,FALSE)&lt;&gt;""),"　",""))))</f>
        <v/>
      </c>
      <c r="Z117" s="16" t="str">
        <f t="shared" si="2"/>
        <v/>
      </c>
    </row>
    <row r="118" spans="1:26">
      <c r="A118" s="66" t="s">
        <v>23</v>
      </c>
      <c r="B118" s="16" t="s">
        <v>6</v>
      </c>
      <c r="C118" s="16" t="str" cm="1">
        <f t="array" aca="1" ref="C118" ca="1">IF(INDIRECT("R"&amp;ROW()&amp;"C"&amp;COLUMN()-1,FALSE)="","",((IF(OR(INDIRECT("R"&amp;ROW()&amp;"C"&amp;COLUMN()+1,FALSE)&lt;&gt;"",INDIRECT("R"&amp;ROW()&amp;"C"&amp;COLUMN()+2,FALSE)&lt;&gt;""),"　",""))))</f>
        <v/>
      </c>
      <c r="Z118" s="16" t="str">
        <f t="shared" si="2"/>
        <v/>
      </c>
    </row>
    <row r="119" spans="1:26">
      <c r="A119" s="67" t="s">
        <v>211</v>
      </c>
      <c r="B119" s="16" t="str">
        <f>IF(Sheet1!G14&lt;&gt;"",Sheet1!G14,"")</f>
        <v>菅原 木</v>
      </c>
      <c r="C119" s="16" t="str" cm="1">
        <f t="array" aca="1" ref="C119" ca="1">IF(INDIRECT("R"&amp;ROW()&amp;"C"&amp;COLUMN()-1,FALSE)="","",((IF(OR(INDIRECT("R"&amp;ROW()&amp;"C"&amp;COLUMN()+1,FALSE)&lt;&gt;"",INDIRECT("R"&amp;ROW()&amp;"C"&amp;COLUMN()+2,FALSE)&lt;&gt;""),"　",""))))</f>
        <v/>
      </c>
      <c r="Z119" s="16" t="str">
        <f t="shared" si="2"/>
        <v/>
      </c>
    </row>
    <row r="120" spans="1:26">
      <c r="B120" s="16" t="s">
        <v>6</v>
      </c>
      <c r="C120" s="16" t="str" cm="1">
        <f t="array" aca="1" ref="C120" ca="1">IF(INDIRECT("R"&amp;ROW()&amp;"C"&amp;COLUMN()-1,FALSE)="","",((IF(OR(INDIRECT("R"&amp;ROW()&amp;"C"&amp;COLUMN()+1,FALSE)&lt;&gt;"",INDIRECT("R"&amp;ROW()&amp;"C"&amp;COLUMN()+2,FALSE)&lt;&gt;""),"　",""))))</f>
        <v/>
      </c>
      <c r="Z120" s="16" t="str">
        <f t="shared" si="2"/>
        <v/>
      </c>
    </row>
    <row r="121" spans="1:26">
      <c r="A121" s="2" t="s">
        <v>213</v>
      </c>
      <c r="B121" s="16" t="str">
        <f>IF(COUNTIF(データ処理部!$G$15:G$38,"")=0,"",
IFERROR(INDEX(db!$K$4:$L$27,MATCH(SMALL(db!$K$4:$L$27,COLUMN()-1),db!$L$4:$L$27,0),1)&amp;"　",""))</f>
        <v/>
      </c>
      <c r="C121" s="16" t="str">
        <f>IF(COUNTIF(データ処理部!$G$15:H$38,"")=0,"",
IFERROR(INDEX(db!$K$4:$L$27,MATCH(SMALL(db!$K$4:$L$27,COLUMN()-1),db!$L$4:$L$27,0),1)&amp;"　",""))</f>
        <v/>
      </c>
      <c r="D121" s="16" t="str">
        <f>IF(COUNTIF(データ処理部!$G$15:I$38,"")=0,"",
IFERROR(INDEX(db!$K$4:$L$27,MATCH(SMALL(db!$K$4:$L$27,COLUMN()-1),db!$L$4:$L$27,0),1)&amp;"　",""))</f>
        <v/>
      </c>
      <c r="E121" s="16" t="str">
        <f>IF(COUNTIF(データ処理部!$G$15:J$38,"")=0,"",
IFERROR(INDEX(db!$K$4:$L$27,MATCH(SMALL(db!$K$4:$L$27,COLUMN()-1),db!$L$4:$L$27,0),1)&amp;"　",""))</f>
        <v/>
      </c>
      <c r="F121" s="16" t="str">
        <f>IF(COUNTIF(データ処理部!$G$15:K$38,"")=0,"",
IFERROR(INDEX(db!$K$4:$L$27,MATCH(SMALL(db!$K$4:$L$27,COLUMN()-1),db!$L$4:$L$27,0),1)&amp;"　",""))</f>
        <v/>
      </c>
      <c r="G121" s="16" t="str">
        <f>IF(COUNTIF(データ処理部!$G$15:L$38,"")=0,"",
IFERROR(INDEX(db!$K$4:$L$27,MATCH(SMALL(db!$K$4:$L$27,COLUMN()-1),db!$L$4:$L$27,0),1)&amp;"　",""))</f>
        <v/>
      </c>
      <c r="H121" s="16" t="str">
        <f>IF(COUNTIF(データ処理部!$G$15:M$38,"")=0,"",
IFERROR(INDEX(db!$K$4:$L$27,MATCH(SMALL(db!$K$4:$L$27,COLUMN()-1),db!$L$4:$L$27,0),1)&amp;"　",""))</f>
        <v/>
      </c>
      <c r="I121" s="16" t="str">
        <f>IF(COUNTIF(データ処理部!$G$15:N$38,"")=0,"",
IFERROR(INDEX(db!$K$4:$L$27,MATCH(SMALL(db!$K$4:$L$27,COLUMN()-1),db!$L$4:$L$27,0),1)&amp;"　",""))</f>
        <v/>
      </c>
      <c r="J121" s="16" t="str">
        <f>IF(COUNTIF(データ処理部!$G$15:O$38,"")=0,"",
IFERROR(INDEX(db!$K$4:$L$27,MATCH(SMALL(db!$K$4:$L$27,COLUMN()-1),db!$L$4:$L$27,0),1)&amp;"　",""))</f>
        <v/>
      </c>
      <c r="K121" s="16" t="str">
        <f>IF(COUNTIF(データ処理部!$G$15:P$38,"")=0,"",
IFERROR(INDEX(db!$K$4:$L$27,MATCH(SMALL(db!$K$4:$L$27,COLUMN()-1),db!$L$4:$L$27,0),1)&amp;"　",""))</f>
        <v/>
      </c>
      <c r="L121" s="16" t="str">
        <f>IF(COUNTIF(データ処理部!$G$15:Q$38,"")=0,"",
IFERROR(INDEX(db!$K$4:$L$27,MATCH(SMALL(db!$K$4:$L$27,COLUMN()-1),db!$L$4:$L$27,0),1)&amp;"　",""))</f>
        <v/>
      </c>
      <c r="M121" s="16" t="str">
        <f>IF(COUNTIF(データ処理部!$G$15:R$38,"")=0,"",
IFERROR(INDEX(db!$K$4:$L$27,MATCH(SMALL(db!$K$4:$L$27,COLUMN()-1),db!$L$4:$L$27,0),1)&amp;"　",""))</f>
        <v/>
      </c>
      <c r="N121" s="16" t="str">
        <f>IF(COUNTIF(データ処理部!$G$15:S$38,"")=0,"",
IFERROR(INDEX(db!$K$4:$L$27,MATCH(SMALL(db!$K$4:$L$27,COLUMN()-1),db!$L$4:$L$27,0),1)&amp;"　",""))</f>
        <v/>
      </c>
      <c r="O121" s="16" t="str">
        <f>IF(COUNTIF(データ処理部!$G$15:T$38,"")=0,"",
IFERROR(INDEX(db!$K$4:$L$27,MATCH(SMALL(db!$K$4:$L$27,COLUMN()-1),db!$L$4:$L$27,0),1)&amp;"　",""))</f>
        <v/>
      </c>
      <c r="P121" s="16" t="str">
        <f>IF(COUNTIF(データ処理部!$G$15:U$38,"")=0,"",
IFERROR(INDEX(db!$K$4:$L$27,MATCH(SMALL(db!$K$4:$L$27,COLUMN()-1),db!$L$4:$L$27,0),1)&amp;"　",""))</f>
        <v/>
      </c>
      <c r="Q121" s="16" t="str">
        <f>IF(COUNTIF(データ処理部!$G$15:V$38,"")=0,"",
IFERROR(INDEX(db!$K$4:$L$27,MATCH(SMALL(db!$K$4:$L$27,COLUMN()-1),db!$L$4:$L$27,0),1)&amp;"　",""))</f>
        <v/>
      </c>
      <c r="R121" s="16" t="str">
        <f>IF(COUNTIF(データ処理部!$G$15:W$38,"")=0,"",
IFERROR(INDEX(db!$K$4:$L$27,MATCH(SMALL(db!$K$4:$L$27,COLUMN()-1),db!$L$4:$L$27,0),1)&amp;"　",""))</f>
        <v/>
      </c>
      <c r="S121" s="16" t="str">
        <f>IF(COUNTIF(データ処理部!$G$15:X$38,"")=0,"",
IFERROR(INDEX(db!$K$4:$L$27,MATCH(SMALL(db!$K$4:$L$27,COLUMN()-1),db!$L$4:$L$27,0),1)&amp;"　",""))</f>
        <v/>
      </c>
      <c r="T121" s="16" t="str">
        <f>IF(COUNTIF(データ処理部!$G$15:Y$38,"")=0,"",
IFERROR(INDEX(db!$K$4:$L$27,MATCH(SMALL(db!$K$4:$L$27,COLUMN()-1),db!$L$4:$L$27,0),1)&amp;"　",""))</f>
        <v/>
      </c>
      <c r="U121" s="16" t="str">
        <f>IF(COUNTIF(データ処理部!$G$15:Z$38,"")=0,"",
IFERROR(INDEX(db!$K$4:$L$27,MATCH(SMALL(db!$K$4:$L$27,COLUMN()-1),db!$L$4:$L$27,0),1)&amp;"　",""))</f>
        <v/>
      </c>
      <c r="V121" s="16" t="str">
        <f>IF(COUNTIF(データ処理部!$G$15:AA$38,"")=0,"",
IFERROR(INDEX(db!$K$4:$L$27,MATCH(SMALL(db!$K$4:$L$27,COLUMN()-1),db!$L$4:$L$27,0),1)&amp;"　",""))</f>
        <v/>
      </c>
      <c r="W121" s="16" t="str">
        <f>IF(COUNTIF(データ処理部!$G$15:AB$38,"")=0,"",
IFERROR(INDEX(db!$K$4:$L$27,MATCH(SMALL(db!$K$4:$L$27,COLUMN()-1),db!$L$4:$L$27,0),1)&amp;"　",""))</f>
        <v/>
      </c>
      <c r="X121" s="16" t="str">
        <f>IF(COUNTIF(データ処理部!$G$15:AC$38,"")=0,"",
IFERROR(INDEX(db!$K$4:$L$27,MATCH(SMALL(db!$K$4:$L$27,COLUMN()-1),db!$L$4:$L$27,0),1)&amp;"　",""))</f>
        <v/>
      </c>
      <c r="Y121" s="16" t="str">
        <f>IF(COUNTIF(データ処理部!$G$15:AD$38,"")=0,"",
IFERROR(INDEX(db!$K$4:$L$27,MATCH(SMALL(db!$K$4:$L$27,COLUMN()-1),db!$L$4:$L$27,0),1)&amp;"　",""))</f>
        <v/>
      </c>
      <c r="Z121" s="16" t="str">
        <f t="shared" si="2"/>
        <v/>
      </c>
    </row>
    <row r="122" spans="1:26">
      <c r="A122" s="66"/>
      <c r="B122" s="19" t="s">
        <v>6</v>
      </c>
      <c r="C122" s="16" t="str" cm="1">
        <f t="array" aca="1" ref="C122" ca="1">IF(INDIRECT("R"&amp;ROW()&amp;"C"&amp;COLUMN()-1,FALSE)="","",((IF(OR(INDIRECT("R"&amp;ROW()&amp;"C"&amp;COLUMN()+1,FALSE)&lt;&gt;"",INDIRECT("R"&amp;ROW()&amp;"C"&amp;COLUMN()+2,FALSE)&lt;&gt;""),"　",""))))</f>
        <v/>
      </c>
      <c r="Z122" s="16" t="str">
        <f t="shared" si="2"/>
        <v/>
      </c>
    </row>
    <row r="123" spans="1:26">
      <c r="A123" s="118">
        <f>A93+1</f>
        <v>44267</v>
      </c>
      <c r="B123" s="16" t="s">
        <v>6</v>
      </c>
      <c r="C123" s="16" t="str" cm="1">
        <f t="array" aca="1" ref="C123" ca="1">IF(INDIRECT("R"&amp;ROW()&amp;"C"&amp;COLUMN()-1,FALSE)="","",((IF(OR(INDIRECT("R"&amp;ROW()&amp;"C"&amp;COLUMN()+1,FALSE)&lt;&gt;"",INDIRECT("R"&amp;ROW()&amp;"C"&amp;COLUMN()+2,FALSE)&lt;&gt;""),"　",""))))</f>
        <v/>
      </c>
      <c r="Z123" s="16" t="str">
        <f t="shared" si="2"/>
        <v/>
      </c>
    </row>
    <row r="124" spans="1:26">
      <c r="A124" s="66" t="s">
        <v>19</v>
      </c>
      <c r="B124" s="19" t="s">
        <v>6</v>
      </c>
      <c r="C124" s="16" t="str" cm="1">
        <f t="array" aca="1" ref="C124" ca="1">IF(INDIRECT("R"&amp;ROW()&amp;"C"&amp;COLUMN()-1,FALSE)="","",((IF(OR(INDIRECT("R"&amp;ROW()&amp;"C"&amp;COLUMN()+1,FALSE)&lt;&gt;"",INDIRECT("R"&amp;ROW()&amp;"C"&amp;COLUMN()+2,FALSE)&lt;&gt;""),"　",""))))</f>
        <v/>
      </c>
      <c r="Z124" s="16" t="str">
        <f t="shared" si="2"/>
        <v/>
      </c>
    </row>
    <row r="125" spans="1:26">
      <c r="A125" s="18" t="s">
        <v>112</v>
      </c>
      <c r="B125" s="19" t="str">
        <f>IF(Sheet1!H2&lt;&gt;"",Sheet1!H2,"")</f>
        <v>塚原 金</v>
      </c>
      <c r="C125" s="16" t="str" cm="1">
        <f t="array" aca="1" ref="C125" ca="1">IF(INDIRECT("R"&amp;ROW()&amp;"C"&amp;COLUMN()-1,FALSE)="","",((IF(OR(INDIRECT("R"&amp;ROW()&amp;"C"&amp;COLUMN()+1,FALSE)&lt;&gt;"",INDIRECT("R"&amp;ROW()&amp;"C"&amp;COLUMN()+2,FALSE)&lt;&gt;""),"　",""))))</f>
        <v/>
      </c>
      <c r="Z125" s="16" t="str">
        <f t="shared" si="2"/>
        <v/>
      </c>
    </row>
    <row r="126" spans="1:26">
      <c r="A126" s="18" t="str">
        <f>IF(B126&lt;&gt;"","操車研修　","")</f>
        <v/>
      </c>
      <c r="B126" s="19" t="str" cm="1">
        <f t="array" ref="B126">IFERROR( IF( INDEX( Sheet1!$A$15:H22, IFERROR( MATCH( "*操車*", Sheet1!$A$15:$A$22, 0 ), "" ), ((ROW()-6)/30)+4 ) = "", "", IFERROR( INDEX( Sheet1!$A$15:H22, IFERROR( MATCH( "*操車*", Sheet1!$A$15:$A$22, 0 ), "" ), ((ROW()-6)/30)+4 ) &amp; "(14時～20時)", "" ) ), "" )</f>
        <v/>
      </c>
      <c r="C126" s="16" t="str" cm="1">
        <f t="array" aca="1" ref="C126" ca="1">IF(INDIRECT("R"&amp;ROW()&amp;"C"&amp;COLUMN()-1,FALSE)="","",((IF(OR(INDIRECT("R"&amp;ROW()&amp;"C"&amp;COLUMN()+1,FALSE)&lt;&gt;"",INDIRECT("R"&amp;ROW()&amp;"C"&amp;COLUMN()+2,FALSE)&lt;&gt;""),"　",""))))</f>
        <v/>
      </c>
      <c r="D126" s="16" t="str" cm="1">
        <f t="array" aca="1" ref="D126" ca="1">IFERROR(
  IF(
    INDEX(
    INDIRECT( "Sheet1!A" &amp; MATCH( "*操車*", Sheet1!$A$15:$A$22, 0 ) + 15 )
    :Sheet1!H22,
    IFERROR(
      MATCH(
        "*操車*",
        INDIRECT( "Sheet1!A" &amp; MATCH( "*操車*", Sheet1!$A$15:$A$22, 0 ) + 15 )
        :Sheet1!$A$22,
        0
      ),
      ""
    ),
    ( (        ROW(
        ) - 6 ) / 30 ) + 4
    ) = "",
    "",
    IFERROR(
    INDEX(
      INDIRECT( "Sheet1!A" &amp; MATCH( "*操車*", Sheet1!$A$15:$A$22, 0 ) + 15 )
      :Sheet1!H22,
      IFERROR(
        MATCH(
        "*操車*",
        INDIRECT( "Sheet1!A" &amp; MATCH( "*操車*", Sheet1!$A$15:$A$22, 0 ) + 15 )
        :Sheet1!$A$22,
        0
        ),
        ""
      ),
      ( (        ROW(
        ) - 6 ) / 30 ) + 4
    ) &amp; "(14時～20時)",
    ""
    )
  ),
  ""
)</f>
        <v/>
      </c>
      <c r="J126" s="16" t="str">
        <f>IF(A126="","※操車研修","")</f>
        <v>※操車研修</v>
      </c>
      <c r="Z126" s="16" t="str">
        <f t="shared" si="2"/>
        <v/>
      </c>
    </row>
    <row r="127" spans="1:26">
      <c r="A127" s="18" t="s">
        <v>113</v>
      </c>
      <c r="B127" s="19" t="str">
        <f>IF( COUNTIF( Sheet1!H3:H6, "*:*" )=0, Sheet1!H3&amp;"　"&amp;Sheet1!H4, IF( COUNTIF( Sheet1!H3:H6, "*:*" )=1, Sheet1!H3&amp;" "&amp;Sheet1!H4&amp;"(～21時)", IF( COUNTIF( Sheet1!H3:H6, "*:*" )=2, SUBSTITUTE(SUBSTITUTE(Sheet1!H3&amp;CHAR(10)&amp;"(～21:00)",CHAR(10),""),"(～21:00)","")&amp;"(～21時) "&amp;"　"&amp;SUBSTITUTE(SUBSTITUTE(Sheet1!H4&amp;CHAR(10)&amp;"(～21:00)",CHAR(10),""),"(～21:00)","")&amp;"(～21時)" ) ) )</f>
        <v>土田 金(～21時) 　菅井 金(～21時)</v>
      </c>
      <c r="C127" s="16" t="str" cm="1">
        <f t="array" aca="1" ref="C127" ca="1">IF(INDIRECT("R"&amp;ROW()&amp;"C"&amp;COLUMN()-1,FALSE)="","",((IF(OR(INDIRECT("R"&amp;ROW()&amp;"C"&amp;COLUMN()+1,FALSE)&lt;&gt;"",INDIRECT("R"&amp;ROW()&amp;"C"&amp;COLUMN()+2,FALSE)&lt;&gt;""),"　",""))))</f>
        <v/>
      </c>
      <c r="F127" s="117"/>
      <c r="Z127" s="16" t="str">
        <f t="shared" si="2"/>
        <v/>
      </c>
    </row>
    <row r="128" spans="1:26">
      <c r="A128" s="18" t="s">
        <v>114</v>
      </c>
      <c r="B128" s="19" t="str">
        <f>IF(COUNTIF(Sheet1!H3:H6,"*:*")=0, Sheet1!H5&amp;"　"&amp;Sheet1!H6, IF(COUNTIF(Sheet1!H3:H6,"*:*")=1, Sheet1!H6, IF(COUNTIF(Sheet1!H3:H6,"*:*")=2, "-")))</f>
        <v>-</v>
      </c>
      <c r="C128" s="16" t="str" cm="1">
        <f t="array" aca="1" ref="C128" ca="1">IF(INDIRECT("R"&amp;ROW()&amp;"C"&amp;COLUMN()-1,FALSE)="","",((IF(OR(INDIRECT("R"&amp;ROW()&amp;"C"&amp;COLUMN()+1,FALSE)&lt;&gt;"",INDIRECT("R"&amp;ROW()&amp;"C"&amp;COLUMN()+2,FALSE)&lt;&gt;""),"　",""))))</f>
        <v/>
      </c>
      <c r="Z128" s="16" t="str">
        <f t="shared" si="2"/>
        <v/>
      </c>
    </row>
    <row r="129" spans="1:26">
      <c r="A129" s="18" t="str">
        <f>IF(B129&lt;&gt;"","折早研修　","")</f>
        <v/>
      </c>
      <c r="B129" s="16" t="str" cm="1">
        <f t="array" ref="B129">IF(AND(COUNTIF(Sheet1!$A$15:$A$22,"*折防早番*")&gt;0,COUNTIF(Sheet1!$A$15:$A$22,"*折早*")&gt;0)=TRUE,"エラー！
Sheet1の見習欄の駅名を統一してください",
IFERROR(IF(INDEX(Sheet1!$A$15:H22,IFERROR(IFERROR(MATCH("*折防早番*",Sheet1!$A$15:$A$22,0),MATCH("*折早*",Sheet1!$A$15:$A$22,0)),""),((ROW()-9)/30)+4)="","",IFERROR(INDEX(Sheet1!$A$15:H22,IFERROR(IFERROR(MATCH("*折防早番*",Sheet1!$A$15:$A$22,0),MATCH("*折早*",Sheet1!$A$15:$A$22,0)),""),((ROW()-9)/30)+4)&amp;"(15時50分～19時)","")),"")
)</f>
        <v/>
      </c>
      <c r="C129" s="16" t="str" cm="1">
        <f t="array" aca="1" ref="C129" ca="1">IF(INDIRECT("R"&amp;ROW()&amp;"C"&amp;COLUMN()-1,FALSE)="","",((IF(OR(INDIRECT("R"&amp;ROW()&amp;"C"&amp;COLUMN()+1,FALSE)&lt;&gt;"",INDIRECT("R"&amp;ROW()&amp;"C"&amp;COLUMN()+2,FALSE)&lt;&gt;""),"　",""))))</f>
        <v/>
      </c>
      <c r="D129" s="16" t="str" cm="1">
        <f t="array" aca="1" ref="D129" ca="1">IF(AND(COUNTIF(Sheet1!$A$15:$A$22,"*折防早番*")&gt;0,COUNTIF(Sheet1!$A$15:$A$22,"*折早*")&gt;0)=TRUE,"エラー！
Sheet1の見習欄の駅名を統一してください",
IFERROR(
  IF(
    INDEX(
    INDIRECT( "Sheet1!A" &amp; MATCH( "*折防早番*", Sheet1!$A$15:$A$22, 0 ) + 15 )
    :Sheet1!H22,
    IFERROR(
      MATCH(
        "*折防早番*",
        INDIRECT( "Sheet1!A" &amp; MATCH( "*折防早番*", Sheet1!$A$15:$A$22, 0 ) + 15 )
        :Sheet1!$A$22,
        0
      ),
      ""
    ),
    ( (        ROW(
        ) - 9 ) / 30 ) + 4
    ) = "",
    "",
    IFERROR(
    INDEX(
      INDIRECT( "Sheet1!A" &amp; MATCH( "*折防早番*", Sheet1!$A$15:$A$22, 0 ) + 15 )
      :Sheet1!H22,
      IFERROR(
        MATCH(
        "*折防早番*",
        INDIRECT( "Sheet1!A" &amp; MATCH( "*折防早番*", Sheet1!$A$15:$A$22, 0 ) + 15 )
        :Sheet1!$A$22,
        0
        ),
        ""
      ),
      ( (        ROW(
        ) - 9 ) / 30 ) + 4
    ) &amp; "(15時50分～19時)",
    ""
    )
  ),
  ""
)
)</f>
        <v/>
      </c>
      <c r="E129" s="16" t="str" cm="1">
        <f t="array" aca="1" ref="E129" ca="1">IF(AND(COUNTIF(Sheet1!$A$15:$A$22,"*折防早番*")&gt;0,COUNTIF(Sheet1!$A$15:$A$22,"*折早*")&gt;0)=TRUE,"",
IFERROR(
  IF(
    INDEX(
    INDIRECT( "Sheet1!A" &amp; MATCH( "*折早*", Sheet1!$A$15:$A$22, 0 ) + 15 )
    :Sheet1!H22,
    IFERROR(
      MATCH(
        "*折早*",
        INDIRECT( "Sheet1!A" &amp; MATCH( "*折早*", Sheet1!$A$15:$A$22, 0 ) + 15 )
        :Sheet1!$A$22,
        0
      ),
      ""
    ),
    ( (        ROW(
        ) - 9 ) / 30 ) + 4
    ) = "",
    "",
    IFERROR(
    INDEX(
      INDIRECT( "Sheet1!A" &amp; MATCH( "*折早*", Sheet1!$A$15:$A$22, 0 ) + 15 )
      :Sheet1!H22,
      IFERROR(
        MATCH(
        "*折早*",
        INDIRECT( "Sheet1!A" &amp; MATCH( "*折早*", Sheet1!$A$15:$A$22, 0 ) + 15 )
        :Sheet1!$A$22,
        0
        ),
        ""
      ),
      ( (        ROW(
        ) - 9 ) / 30 ) + 4
    ) &amp; "(15時50分～19時)",
    ""
    )
  ),
  ""
)
)</f>
        <v/>
      </c>
      <c r="F129" s="67"/>
      <c r="J129" s="16" t="str">
        <f>IF(A129="","※折早研修","")</f>
        <v>※折早研修</v>
      </c>
      <c r="Z129" s="16" t="str">
        <f t="shared" si="2"/>
        <v/>
      </c>
    </row>
    <row r="130" spans="1:26">
      <c r="A130" s="18" t="str">
        <f>IF(B130&lt;&gt;"","折遅研修　","")</f>
        <v/>
      </c>
      <c r="B130" s="16" t="str" cm="1">
        <f t="array" ref="B130">IF(AND(COUNTIF(Sheet1!$A$15:$A$22,"*折防遅番*")&gt;0,COUNTIF(Sheet1!$A$15:$A$22,"*折遅*")&gt;0)=TRUE,"エラー！Sheet1の見習欄の駅名を統一してください",
IFERROR(IF(INDEX(Sheet1!$A$15:H22,IFERROR(IFERROR(MATCH("*折防遅番*",Sheet1!$A$15:$A$22,0),MATCH("*折遅*",Sheet1!$A$15:$A$22,0)),""),((ROW()-10)/30)+4)="","",IFERROR(INDEX(Sheet1!$A$15:H22,IFERROR(IFERROR(MATCH("*折防遅番*",Sheet1!$A$15:$A$22,0),MATCH("*折遅*",Sheet1!$A$15:$A$22,0)),""),((ROW()-10)/30)+4)&amp;"(17時～21時)","")),"")
)</f>
        <v/>
      </c>
      <c r="C130" s="16" t="str" cm="1">
        <f t="array" aca="1" ref="C130" ca="1">IF(INDIRECT("R"&amp;ROW()&amp;"C"&amp;COLUMN()-1,FALSE)="","",((IF(OR(INDIRECT("R"&amp;ROW()&amp;"C"&amp;COLUMN()+1,FALSE)&lt;&gt;"",INDIRECT("R"&amp;ROW()&amp;"C"&amp;COLUMN()+2,FALSE)&lt;&gt;""),"　",""))))</f>
        <v/>
      </c>
      <c r="D130" s="16" t="str" cm="1">
        <f t="array" aca="1" ref="D130" ca="1">IF(AND(COUNTIF(Sheet1!$A$15:$A$22,"*折防遅番*")&gt;0,COUNTIF(Sheet1!$A$15:$A$22,"*折遅*")&gt;0)=TRUE,"エラー！
Sheet1の見習欄の駅名を統一してください",
IFERROR(
  IF(
    INDEX(
    INDIRECT( "Sheet1!A" &amp; MATCH( "*折防遅番*", Sheet1!$A$15:$A$22, 0 ) + 15 )
    :Sheet1!H22,
    IFERROR(
      MATCH(
        "*折防遅番*",
        INDIRECT( "Sheet1!A" &amp; MATCH( "*折防遅番*", Sheet1!$A$15:$A$22, 0 ) + 15 )
        :Sheet1!$A$22,
        0
      ),
      ""
    ),
    ( (        ROW(
        ) - 10 ) / 30 ) + 4
    ) = "",
    "",
    IFERROR(
    INDEX(
      INDIRECT( "Sheet1!A" &amp; MATCH( "*折防遅番*", Sheet1!$A$15:$A$22, 0 ) + 15 )
      :Sheet1!H22,
      IFERROR(
        MATCH(
        "*折防遅番*",
        INDIRECT( "Sheet1!A" &amp; MATCH( "*折防遅番*", Sheet1!$A$15:$A$22, 0 ) + 15 )
        :Sheet1!$A$22,
        0
        ),
        ""
      ),
      ( (        ROW(
        ) - 10 ) / 30 ) + 4
    ) &amp; "(17時～21時)",
    ""
    )
  ),
  ""
)
)</f>
        <v/>
      </c>
      <c r="E130" s="16" t="str" cm="1">
        <f t="array" aca="1" ref="E130" ca="1">IF(AND(COUNTIF(Sheet1!$A$15:$A$22,"*折防遅番*")&gt;0,COUNTIF(Sheet1!$A$15:$A$22,"*折遅*")&gt;0)=TRUE,"",
IFERROR(
  IF(
    INDEX(
    INDIRECT( "Sheet1!A" &amp; MATCH( "*折遅*", Sheet1!$A$15:$A$22, 0 ) + 15 )
    :Sheet1!H22,
    IFERROR(
      MATCH(
        "*折遅*",
        INDIRECT( "Sheet1!A" &amp; MATCH( "*折遅*", Sheet1!$A$15:$A$22, 0 ) + 15 )
        :Sheet1!$A$22,
        0
      ),
      ""
    ),
    ( (        ROW(
        ) - 10 ) / 30 ) + 4
    ) = "",
    "",
    IFERROR(
    INDEX(
      INDIRECT( "Sheet1!A" &amp; MATCH( "*折遅*", Sheet1!$A$15:$A$22, 0 ) + 15 )
      :Sheet1!H22,
      IFERROR(
        MATCH(
        "*折遅*",
        INDIRECT( "Sheet1!A" &amp; MATCH( "*折遅*", Sheet1!$A$15:$A$22, 0 ) + 15 )
        :Sheet1!$A$22,
        0
        ),
        ""
      ),
      ( (        ROW(
        ) - 10 ) / 30 ) + 4
    ) &amp; "(17～21時)",
    ""
    )
  ),
  ""
)
)</f>
        <v/>
      </c>
      <c r="F130" s="67"/>
      <c r="J130" s="16" t="str">
        <f>IF(A130="","※折遅研修","")</f>
        <v>※折遅研修</v>
      </c>
      <c r="Z130" s="16" t="str">
        <f t="shared" si="2"/>
        <v/>
      </c>
    </row>
    <row r="131" spans="1:26">
      <c r="A131" s="18" t="str">
        <f>IF(B131&lt;&gt;"","折防ロング研修","")</f>
        <v/>
      </c>
      <c r="B131" s="16" t="str" cm="1">
        <f t="array" ref="B131">IF(AND(COUNTIF(Sheet1!$A$15:$A$22,"*折防ロング*")&gt;0,COUNTIF(Sheet1!$A$15:$A$22,"*折ロング*")&gt;0)=TRUE,"エラー！
Sheet1の見習欄の駅名を統一してください",
IFERROR(IF(INDEX(Sheet1!$A$15:H22,IFERROR(IFERROR(MATCH("*折防ロング*",Sheet1!$A$15:$A$22,0),MATCH("*折ロング*",Sheet1!$A$15:$A$22,0)),""),((ROW()-11)/30)+4)="","",IFERROR(INDEX(Sheet1!$A$15:H22,IFERROR(IFERROR(MATCH("*折防ロング*",Sheet1!$A$15:$A$22,0),MATCH("*折ロング*",Sheet1!$A$15:$A$22,0)),""),((ROW()-11)/30)+4)&amp;"(15時50分～21時)","")),"")
)</f>
        <v/>
      </c>
      <c r="C131" s="16" t="str" cm="1">
        <f t="array" aca="1" ref="C131" ca="1">IF(INDIRECT("R"&amp;ROW()&amp;"C"&amp;COLUMN()-1,FALSE)="","",((IF(OR(INDIRECT("R"&amp;ROW()&amp;"C"&amp;COLUMN()+1,FALSE)&lt;&gt;"",INDIRECT("R"&amp;ROW()&amp;"C"&amp;COLUMN()+2,FALSE)&lt;&gt;""),"　",""))))</f>
        <v/>
      </c>
      <c r="D131" s="16" t="str" cm="1">
        <f t="array" aca="1" ref="D131" ca="1">IFERROR(
  IF(
    INDEX(
    INDIRECT( "Sheet1!A" &amp; MATCH( "*折防ロング*", Sheet1!$A$15:$A$22, 0 ) + 15 )
    :Sheet1!H22,
    IFERROR(
      MATCH(
        "*折防ロング*",
        INDIRECT( "Sheet1!A" &amp; MATCH( "*折防ロング*", Sheet1!$A$15:$A$22, 0 ) + 15 )
        :Sheet1!$A$22,
        0
      ),
      ""
    ),
    ( (        ROW(
        ) - 11 ) / 30 ) + 4
    ) = "",
    "",
    IFERROR(
    INDEX(
      INDIRECT( "Sheet1!A" &amp; MATCH( "*折防ロング*", Sheet1!$A$15:$A$22, 0 ) + 15 )
      :Sheet1!H22,
      IFERROR(
        MATCH(
        "*折防ロング*",
        INDIRECT( "Sheet1!A" &amp; MATCH( "*折防ロング*", Sheet1!$A$15:$A$22, 0 ) + 15 )
        :Sheet1!$A$22,
        0
        ),
        ""
      ),
      ( (        ROW(
        ) - 11 ) / 30 ) + 4
    ) &amp; "(15時50分～21時)",
    ""
    )
  ),
  ""
)</f>
        <v/>
      </c>
      <c r="F131" s="67"/>
      <c r="J131" s="16" t="str">
        <f>IF(A131="","※折防ロング研修","")</f>
        <v>※折防ロング研修</v>
      </c>
      <c r="Z131" s="16" t="str">
        <f t="shared" si="2"/>
        <v/>
      </c>
    </row>
    <row r="132" spans="1:26">
      <c r="A132" s="18"/>
      <c r="B132" s="16" t="s">
        <v>6</v>
      </c>
      <c r="C132" s="16" t="str" cm="1">
        <f t="array" aca="1" ref="C132" ca="1">IF(INDIRECT("R"&amp;ROW()&amp;"C"&amp;COLUMN()-1,FALSE)="","",((IF(OR(INDIRECT("R"&amp;ROW()&amp;"C"&amp;COLUMN()+1,FALSE)&lt;&gt;"",INDIRECT("R"&amp;ROW()&amp;"C"&amp;COLUMN()+2,FALSE)&lt;&gt;""),"　",""))))</f>
        <v/>
      </c>
      <c r="F132" s="67"/>
      <c r="Z132" s="16" t="str">
        <f t="shared" si="2"/>
        <v/>
      </c>
    </row>
    <row r="133" spans="1:26">
      <c r="A133" s="66" t="s">
        <v>20</v>
      </c>
      <c r="B133" s="16" t="s">
        <v>6</v>
      </c>
      <c r="C133" s="16" t="str" cm="1">
        <f t="array" aca="1" ref="C133" ca="1">IF(INDIRECT("R"&amp;ROW()&amp;"C"&amp;COLUMN()-1,FALSE)="","",((IF(OR(INDIRECT("R"&amp;ROW()&amp;"C"&amp;COLUMN()+1,FALSE)&lt;&gt;"",INDIRECT("R"&amp;ROW()&amp;"C"&amp;COLUMN()+2,FALSE)&lt;&gt;""),"　",""))))</f>
        <v/>
      </c>
      <c r="Z133" s="16" t="str">
        <f t="shared" si="2"/>
        <v/>
      </c>
    </row>
    <row r="134" spans="1:26">
      <c r="A134" s="67" t="s">
        <v>217</v>
      </c>
      <c r="B134" s="16" t="str">
        <f>IF(Sheet1!H7="","",
IF(COUNTIF(Sheet1!H7,"*:*")=1,SUBSTITUTE(SUBSTITUTE(Sheet1!H7&amp;CHAR(10)&amp;"(～20:30)",CHAR(10),""),"(～20:30)","")&amp;"(～20時30分)",Sheet1!H7)
)</f>
        <v>相良 金</v>
      </c>
      <c r="C134" s="16" t="str" cm="1">
        <f t="array" aca="1" ref="C134" ca="1">IF(INDIRECT("R"&amp;ROW()&amp;"C"&amp;COLUMN()-1,FALSE)="","",((IF(OR(INDIRECT("R"&amp;ROW()&amp;"C"&amp;COLUMN()+1,FALSE)&lt;&gt;"",INDIRECT("R"&amp;ROW()&amp;"C"&amp;COLUMN()+2,FALSE)&lt;&gt;""),"　",""))))</f>
        <v/>
      </c>
      <c r="Z134" s="16" t="str">
        <f t="shared" si="2"/>
        <v/>
      </c>
    </row>
    <row r="135" spans="1:26">
      <c r="A135" s="67" t="s">
        <v>218</v>
      </c>
      <c r="B135" s="16" t="str">
        <f>IF(
  COUNTIF(
    Sheet1!H8:H11,
    "*:*"
  ) = 0,
  Sheet1!H8 &amp; "　" &amp; Sheet1!H9,
  IF(
    COUNTIF(
    Sheet1!H8:H11,
    "*:*"
    ) = 1,
    Sheet1!H8 &amp; "　" &amp;
SUBSTITUTE(
    SUBSTITUTE(
    Sheet1!H9 &amp;
    CHAR(
      10
    ) &amp; "(～20:30)",
    CHAR(
      10
    ),
    ""
    ),
    "(～20:30)",
    ""
  )
 &amp; "(～20時30分)",
    IF(
    COUNTIF(
      Sheet1!H8:H11,
      "*:*"
    ) = 2,
    SUBSTITUTE(
    SUBSTITUTE(
    Sheet1!H8 &amp;
    CHAR(
      10
    ) &amp; "(～20:30)",
    CHAR(
      10
    ),
    ""
    ),
    "(～20:30)",
    ""
  )
&amp; "(～20時30分) " &amp;
SUBSTITUTE(
    SUBSTITUTE(
    Sheet1!H9 &amp;
    CHAR(
      10
    ) &amp; "(～20:30)",
    CHAR(
      10
    ),
    ""
    ),
    "(～20:30)",
    ""
  )
 &amp; "(～20時30分)"
    )
  )
)</f>
        <v>北原 金　二瓶 金</v>
      </c>
      <c r="C135" s="16" t="str" cm="1">
        <f t="array" aca="1" ref="C135" ca="1">IF(INDIRECT("R"&amp;ROW()&amp;"C"&amp;COLUMN()-1,FALSE)="","",((IF(OR(INDIRECT("R"&amp;ROW()&amp;"C"&amp;COLUMN()+1,FALSE)&lt;&gt;"",INDIRECT("R"&amp;ROW()&amp;"C"&amp;COLUMN()+2,FALSE)&lt;&gt;""),"　",""))))</f>
        <v/>
      </c>
      <c r="Z135" s="16" t="str">
        <f t="shared" si="2"/>
        <v/>
      </c>
    </row>
    <row r="136" spans="1:26">
      <c r="A136" s="67" t="s">
        <v>219</v>
      </c>
      <c r="B136" s="16" t="str">
        <f>IF(COUNTIF(Sheet1!H8:H11,"*:*")=0, Sheet1!H10&amp;"　"&amp;Sheet1!H11, IF(COUNTIF(Sheet1!H8:H11,"*:*")=1,Sheet1!H11, IF(COUNTIF(Sheet1!H8:H11,"*:*")=2, "-")))</f>
        <v>神谷 金　三上 金</v>
      </c>
      <c r="C136" s="16" t="str" cm="1">
        <f t="array" aca="1" ref="C136" ca="1">IF(INDIRECT("R"&amp;ROW()&amp;"C"&amp;COLUMN()-1,FALSE)="","",((IF(OR(INDIRECT("R"&amp;ROW()&amp;"C"&amp;COLUMN()+1,FALSE)&lt;&gt;"",INDIRECT("R"&amp;ROW()&amp;"C"&amp;COLUMN()+2,FALSE)&lt;&gt;""),"　",""))))</f>
        <v/>
      </c>
      <c r="Z136" s="16" t="str">
        <f t="shared" si="2"/>
        <v/>
      </c>
    </row>
    <row r="137" spans="1:26">
      <c r="A137" s="67" t="str">
        <f>IF(B137&lt;&gt;"","早番研修","")</f>
        <v/>
      </c>
      <c r="B137" s="16" t="str" cm="1">
        <f t="array" ref="B137">IFERROR(IF(INDEX(Sheet1!$A$15:H22,IFERROR(MATCH("烏丸早番",Sheet1!$A$15:$A$22,0),""),((ROW()-17)/30)+4)="","",IFERROR(INDEX(Sheet1!$A$15:H22,IFERROR(MATCH("烏丸早番",Sheet1!$A$15:$A$22,0),""),((ROW()-17)/30)+4)&amp;"(17時～19時)","")),"")</f>
        <v/>
      </c>
      <c r="C137" s="16" t="str" cm="1">
        <f t="array" aca="1" ref="C137" ca="1">IF(INDIRECT("R"&amp;ROW()&amp;"C"&amp;COLUMN()-1,FALSE)="","",((IF(OR(INDIRECT("R"&amp;ROW()&amp;"C"&amp;COLUMN()+1,FALSE)&lt;&gt;"",INDIRECT("R"&amp;ROW()&amp;"C"&amp;COLUMN()+2,FALSE)&lt;&gt;""),"　",""))))</f>
        <v/>
      </c>
      <c r="D137" s="16" t="str" cm="1">
        <f t="array" aca="1" ref="D137" ca="1">IFERROR(
  IF(
    INDEX(
    INDIRECT( "Sheet1!A" &amp; MATCH( "烏丸早番", Sheet1!$A$15:$A$22, 0 ) + 15 )
    :Sheet1!H22,
    IFERROR(
      MATCH(
        "烏丸早番",
        INDIRECT( "Sheet1!A" &amp; MATCH( "烏丸早番", Sheet1!$A$15:$A$22, 0 ) + 15 )
        :Sheet1!$A$22,
        0
      ),
      ""
    ),
    ( (        ROW(
        ) - 17 ) / 30 ) + 4
    ) = "",
    "",
    IFERROR(
    INDEX(
      INDIRECT( "Sheet1!A" &amp; MATCH( "烏丸早番", Sheet1!$A$15:$A$22, 0 ) + 15 )
      :Sheet1!H22,
      IFERROR(
        MATCH(
        "烏丸早番",
        INDIRECT( "Sheet1!A" &amp; MATCH( "烏丸早番", Sheet1!$A$15:$A$22, 0 ) + 15 )
        :Sheet1!$A$22,
        0
        ),
        ""
      ),
      ( (        ROW(
        ) - 17 ) / 30 ) + 4
    ) &amp; "(17時～19時)",
    ""
    )
  ),
  ""
)</f>
        <v/>
      </c>
      <c r="J137" s="16" t="str">
        <f>IF(A137="","※烏丸早番研修","")</f>
        <v>※烏丸早番研修</v>
      </c>
      <c r="Z137" s="16" t="str">
        <f t="shared" si="2"/>
        <v/>
      </c>
    </row>
    <row r="138" spans="1:26">
      <c r="A138" s="67" t="str">
        <f>IF(B138&lt;&gt;"","遅番研修","")</f>
        <v/>
      </c>
      <c r="B138" s="16" t="str" cm="1">
        <f t="array" ref="B138">IFERROR(IF(INDEX(Sheet1!$A$15:H22,IFERROR(MATCH("*烏丸遅番*",Sheet1!$A$15:$A$22,0),""),((ROW()-18)/30)+4)="","",IFERROR(INDEX(Sheet1!$A$15:H22,IFERROR(MATCH("*烏丸遅番*",Sheet1!$A$15:$A$22,0),""),((ROW()-18)/30)+4)&amp;"(18時～20時30分)","")),"")</f>
        <v/>
      </c>
      <c r="C138" s="16" t="str" cm="1">
        <f t="array" aca="1" ref="C138" ca="1">IF(INDIRECT("R"&amp;ROW()&amp;"C"&amp;COLUMN()-1,FALSE)="","",((IF(OR(INDIRECT("R"&amp;ROW()&amp;"C"&amp;COLUMN()+1,FALSE)&lt;&gt;"",INDIRECT("R"&amp;ROW()&amp;"C"&amp;COLUMN()+2,FALSE)&lt;&gt;""),"　",""))))</f>
        <v/>
      </c>
      <c r="D138" s="16" t="str" cm="1">
        <f t="array" aca="1" ref="D138" ca="1">IFERROR(
  IF(
    INDEX(
    INDIRECT( "Sheet1!A" &amp; MATCH( "*烏丸遅番*", Sheet1!$A$15:$A$22, 0 ) + 15 )
    :Sheet1!H22,
    IFERROR(
      MATCH(
        "*烏丸遅番*",
        INDIRECT( "Sheet1!A" &amp; MATCH( "*烏丸遅番*", Sheet1!$A$15:$A$22, 0 ) + 15 )
        :Sheet1!$A$22,
        0
      ),
      ""
    ),
    ( (        ROW(
        ) - 18 ) / 30 ) + 4
    ) = "",
    "",
    IFERROR(
    INDEX(
      INDIRECT( "Sheet1!A" &amp; MATCH( "*烏丸遅番*", Sheet1!$A$15:$A$22, 0 ) + 15 )
      :Sheet1!H22,
      IFERROR(
        MATCH(
        "*烏丸遅番*",
        INDIRECT( "Sheet1!A" &amp; MATCH( "*烏丸遅番*", Sheet1!$A$15:$A$22, 0 ) + 15 )
        :Sheet1!$A$22,
        0
        ),
        ""
      ),
      ( (        ROW(
        ) - 18 ) / 30 ) + 4
    ) &amp; "(18時～20時30分)",
    ""
    )
  ),
  ""
)</f>
        <v/>
      </c>
      <c r="J138" s="16" t="str">
        <f>IF(A138="","※烏丸遅番研修","")</f>
        <v>※烏丸遅番研修</v>
      </c>
      <c r="Z138" s="16" t="str">
        <f t="shared" si="2"/>
        <v/>
      </c>
    </row>
    <row r="139" spans="1:26">
      <c r="A139" s="67" t="str">
        <f>IF(B139&lt;&gt;"","早番ロング研修","")</f>
        <v/>
      </c>
      <c r="B139" s="16" t="str" cm="1">
        <f t="array" ref="B139">IF(AND(COUNTIF(Sheet1!$A$15:$A$22,"烏丸早番ロング")&gt;0,COUNTIF(Sheet1!$A$15:$A$22,"烏丸ロング")&gt;0)=TRUE,"エラー！
Sheet1の見習欄の駅名を統一してください",
IF(IFERROR(IFERROR(INDEX(Sheet1!$A$15:H22,IFERROR(MATCH("烏丸早番ロング",Sheet1!$A$15:$A$22,0),""),((ROW()-17)/30)+4),INDEX(Sheet1!$A$15:H22,IFERROR(MATCH("烏丸ロング",Sheet1!$A$15:$A$22,0),""),((ROW()-19)/30)+4)),"")&lt;&gt;"",
IFERROR(IFERROR(INDEX(Sheet1!$A$15:H22,IFERROR(MATCH("烏丸早番ロング",Sheet1!$A$15:$A$22,0),""),((ROW()-17)/30)+4),INDEX(Sheet1!$A$15:H22,IFERROR(MATCH("烏丸ロング",Sheet1!$A$15:$A$22,0),""),((ROW()-19)/30)+4)),"")&amp;"(17時～20時30分)",""))</f>
        <v/>
      </c>
      <c r="C139" s="16" t="str" cm="1">
        <f t="array" aca="1" ref="C139" ca="1">IF(INDIRECT("R"&amp;ROW()&amp;"C"&amp;COLUMN()-1,FALSE)="","",((IF(OR(INDIRECT("R"&amp;ROW()&amp;"C"&amp;COLUMN()+1,FALSE)&lt;&gt;"",INDIRECT("R"&amp;ROW()&amp;"C"&amp;COLUMN()+2,FALSE)&lt;&gt;""),"　",""))))</f>
        <v/>
      </c>
      <c r="D139" s="122" t="str" cm="1">
        <f t="array" aca="1" ref="D139" ca="1">IF(AND(COUNTIF(Sheet1!$A$15:$A$22,"烏丸早番ロング")&gt;0,COUNTIF(Sheet1!$A$15:$A$22,"烏丸ロング")&gt;0)=TRUE,"エラー！Sheet1の見習欄の駅名を統一してください",IF(
IFERROR(
IFERROR(
INDEX(
INDIRECT("Sheet1!A"&amp;MATCH("烏丸早番ロング",Sheet1!$A$15:$A$22,0)+15)
:Sheet1!H22,
IFERROR(
MATCH(
"烏丸早番ロング",
INDIRECT("Sheet1!A"&amp;MATCH("烏丸早番ロング",Sheet1!$A$15:$A$22,0)+15)
:Sheet1!$A$22,
0
),
""
),
((ROW(
)-19)/30)+4
),
INDEX(
INDIRECT("Sheet1!A"&amp;MATCH("烏丸早番ロング",Sheet1!$A$15:$A$22,0)+15)
:Sheet1!H22,
IFERROR(
MATCH(
"烏丸ロング",
INDIRECT("Sheet1!A"&amp;MATCH("烏丸早番ロング",Sheet1!$A$15:$A$22,0)+15)
:Sheet1!$A$22,
0
),
""
),
((ROW(
)-19)/30)+4
)
),
""
)&lt;&gt;"",
IFERROR(
IFERROR(
INDEX(
INDIRECT("Sheet1!A"&amp;MATCH("烏丸早番ロング",Sheet1!$A$15:$A$22,0)+15)
:Sheet1!H22,
IFERROR(
MATCH(
"烏丸早番ロング",
INDIRECT("Sheet1!A"&amp;MATCH("烏丸早番ロング",Sheet1!$A$15:$A$22,0)+15)
:Sheet1!$A$22,
0
),
""
),
((ROW(
)-19)/30)+4
),
INDEX(
INDIRECT("Sheet1!A"&amp;MATCH("烏丸早番ロング",Sheet1!$A$15:$A$22,0)+15)
:Sheet1!H22,
IFERROR(
MATCH(
"烏丸ロング",
INDIRECT("Sheet1!A"&amp;MATCH("烏丸早番ロング",Sheet1!$A$15:$A$22,0)+15)
:Sheet1!$A$22,
0
),
""
),
((ROW(
)-19)/30)+4
)
),
""
)&amp;"(17時～20時30分)",
""
))</f>
        <v/>
      </c>
      <c r="E139" s="16" t="str" cm="1">
        <f t="array" aca="1" ref="E139" ca="1">IF(AND(COUNTIF(Sheet1!$A$15:$A$22,"烏丸早番ロング")&gt;0,COUNTIF(Sheet1!$A$15:$A$22,"烏丸ロング")&gt;0)=TRUE,"エラー！
Sheet1の見習欄の駅名を統一してください",
IFERROR(
  IF(
    INDEX(
    INDIRECT( "Sheet1!A" &amp; MATCH( "*烏丸ロング*", Sheet1!$A$15:$A$22, 0 ) + 15 )
    :Sheet1!H22,
    IFERROR(
      MATCH(
        "*烏丸ロング*",
        INDIRECT( "Sheet1!A" &amp; MATCH( "*烏丸ロング*", Sheet1!$A$15:$A$22, 0 ) + 15 )
        :Sheet1!$A$22,
        0
      ),
      ""
    ),
    ( (        ROW(
        ) - 18 ) / 30 ) + 4
    ) = "",
    "",
    IFERROR(
    INDEX(
      INDIRECT( "Sheet1!A" &amp; MATCH( "*烏丸ロング*", Sheet1!$A$15:$A$22, 0 ) + 15 )
      :Sheet1!H22,
      IFERROR(
        MATCH(
        "*烏丸ロング*",
        INDIRECT( "Sheet1!A" &amp; MATCH( "*烏丸ロング*", Sheet1!$A$15:$A$22, 0 ) + 15 )
        :Sheet1!$A$22,
        0
        ),
        ""
      ),
      ( (        ROW(
        ) - 18 ) / 30 ) + 4
    ) &amp; "(17時～20時30分)",
    ""
    )
  ),
  ""
))</f>
        <v/>
      </c>
      <c r="J139" s="16" t="str">
        <f>IF(A139="","※烏丸早番ロング研修","")</f>
        <v>※烏丸早番ロング研修</v>
      </c>
      <c r="Z139" s="16" t="str">
        <f t="shared" si="2"/>
        <v/>
      </c>
    </row>
    <row r="140" spans="1:26">
      <c r="A140" s="67"/>
      <c r="B140" s="16" t="s">
        <v>6</v>
      </c>
      <c r="C140" s="16" t="str" cm="1">
        <f t="array" aca="1" ref="C140" ca="1">IF(INDIRECT("R"&amp;ROW()&amp;"C"&amp;COLUMN()-1,FALSE)="","",((IF(OR(INDIRECT("R"&amp;ROW()&amp;"C"&amp;COLUMN()+1,FALSE)&lt;&gt;"",INDIRECT("R"&amp;ROW()&amp;"C"&amp;COLUMN()+2,FALSE)&lt;&gt;""),"　",""))))</f>
        <v/>
      </c>
      <c r="D140" s="122"/>
      <c r="Z140" s="16" t="str">
        <f t="shared" si="2"/>
        <v/>
      </c>
    </row>
    <row r="141" spans="1:26">
      <c r="A141" s="66" t="s">
        <v>21</v>
      </c>
      <c r="B141" s="16" t="s">
        <v>6</v>
      </c>
      <c r="C141" s="16" t="str" cm="1">
        <f t="array" aca="1" ref="C141" ca="1">IF(INDIRECT("R"&amp;ROW()&amp;"C"&amp;COLUMN()-1,FALSE)="","",((IF(OR(INDIRECT("R"&amp;ROW()&amp;"C"&amp;COLUMN()+1,FALSE)&lt;&gt;"",INDIRECT("R"&amp;ROW()&amp;"C"&amp;COLUMN()+2,FALSE)&lt;&gt;""),"　",""))))</f>
        <v/>
      </c>
      <c r="Z141" s="16" t="str">
        <f t="shared" si="2"/>
        <v/>
      </c>
    </row>
    <row r="142" spans="1:26">
      <c r="A142" s="67" t="s">
        <v>211</v>
      </c>
      <c r="B142" s="16" t="str">
        <f>IF(Sheet1!H12&lt;&gt;"",Sheet1!H12,"")</f>
        <v>五味 金</v>
      </c>
      <c r="C142" s="16" t="str" cm="1">
        <f t="array" aca="1" ref="C142" ca="1">IF(INDIRECT("R"&amp;ROW()&amp;"C"&amp;COLUMN()-1,FALSE)="","",((IF(OR(INDIRECT("R"&amp;ROW()&amp;"C"&amp;COLUMN()+1,FALSE)&lt;&gt;"",INDIRECT("R"&amp;ROW()&amp;"C"&amp;COLUMN()+2,FALSE)&lt;&gt;""),"　",""))))</f>
        <v/>
      </c>
      <c r="Z142" s="16" t="str">
        <f t="shared" si="2"/>
        <v/>
      </c>
    </row>
    <row r="143" spans="1:26">
      <c r="A143" s="67" t="str">
        <f>IF(B143&lt;&gt;"","大宮上り研修","")</f>
        <v/>
      </c>
      <c r="B143" s="16" t="str" cm="1">
        <f t="array" ref="B143">IFERROR(IF(INDEX(Sheet1!$A$15:H22,IFERROR(MATCH("*大宮*",Sheet1!$A$15:$A$22,0),""),((ROW()-23)/30)+4)="","",IFERROR(INDEX(Sheet1!$A$15:H22,IFERROR(MATCH("*大宮*",Sheet1!$A$15:$A$22,0),""),((ROW()-23)/30)+4)&amp;"(17時30分～19時30分)","")),"")</f>
        <v/>
      </c>
      <c r="C143" s="16" t="str" cm="1">
        <f t="array" aca="1" ref="C143" ca="1">IF(INDIRECT("R"&amp;ROW()&amp;"C"&amp;COLUMN()-1,FALSE)="","",((IF(OR(INDIRECT("R"&amp;ROW()&amp;"C"&amp;COLUMN()+1,FALSE)&lt;&gt;"",INDIRECT("R"&amp;ROW()&amp;"C"&amp;COLUMN()+2,FALSE)&lt;&gt;""),"　",""))))</f>
        <v/>
      </c>
      <c r="D143" s="16" t="str" cm="1">
        <f t="array" aca="1" ref="D143" ca="1">IFERROR(
  IF(
    INDEX(
    INDIRECT( "Sheet1!A" &amp; MATCH( "*大宮*", Sheet1!$A$15:$A$22, 0 ) + 15 )
    :Sheet1!H22,
    IFERROR(
      MATCH(
        "*大宮*",
        INDIRECT( "Sheet1!A" &amp; MATCH( "*大宮*", Sheet1!$A$15:$A$22, 0 ) + 15 )
        :Sheet1!$A$22,
        0
      ),
      ""
    ),
    ( (        ROW(
        ) - 23 ) / 30 ) + 4
    ) = "",
    "",
    IFERROR(
    INDEX(
      INDIRECT( "Sheet1!A" &amp; MATCH( "*大宮*", Sheet1!$A$15:$A$22, 0 ) + 15 )
      :Sheet1!H22,
      IFERROR(
        MATCH(
        "*大宮*",
        INDIRECT( "Sheet1!A" &amp; MATCH( "*大宮*", Sheet1!$A$15:$A$22, 0 ) + 15 )
        :Sheet1!$A$22,
        0
        ),
        ""
      ),
      ( (        ROW(
        ) - 23 ) / 30 ) + 4
    ) &amp; "(17時30分～19時30分)",
    ""
    )
  ),
  ""
)</f>
        <v/>
      </c>
      <c r="J143" s="16" t="str">
        <f>IF(A143="","※大宮上り研修","")</f>
        <v>※大宮上り研修</v>
      </c>
      <c r="Z143" s="16" t="str">
        <f t="shared" si="2"/>
        <v/>
      </c>
    </row>
    <row r="144" spans="1:26">
      <c r="A144" s="67"/>
      <c r="B144" s="16" t="s">
        <v>6</v>
      </c>
      <c r="C144" s="16" t="str" cm="1">
        <f t="array" aca="1" ref="C144" ca="1">IF(INDIRECT("R"&amp;ROW()&amp;"C"&amp;COLUMN()-1,FALSE)="","",((IF(OR(INDIRECT("R"&amp;ROW()&amp;"C"&amp;COLUMN()+1,FALSE)&lt;&gt;"",INDIRECT("R"&amp;ROW()&amp;"C"&amp;COLUMN()+2,FALSE)&lt;&gt;""),"　",""))))</f>
        <v/>
      </c>
      <c r="Z144" s="16" t="str">
        <f t="shared" si="2"/>
        <v/>
      </c>
    </row>
    <row r="145" spans="1:26">
      <c r="A145" s="66" t="s">
        <v>22</v>
      </c>
      <c r="B145" s="16" t="s">
        <v>6</v>
      </c>
      <c r="C145" s="16" t="str" cm="1">
        <f t="array" aca="1" ref="C145" ca="1">IF(INDIRECT("R"&amp;ROW()&amp;"C"&amp;COLUMN()-1,FALSE)="","",((IF(OR(INDIRECT("R"&amp;ROW()&amp;"C"&amp;COLUMN()+1,FALSE)&lt;&gt;"",INDIRECT("R"&amp;ROW()&amp;"C"&amp;COLUMN()+2,FALSE)&lt;&gt;""),"　",""))))</f>
        <v/>
      </c>
      <c r="Z145" s="16" t="str">
        <f t="shared" si="2"/>
        <v/>
      </c>
    </row>
    <row r="146" spans="1:26">
      <c r="A146" s="67" t="s">
        <v>212</v>
      </c>
      <c r="B146" s="16" t="str">
        <f>IF(Sheet1!H13&lt;&gt;"",Sheet1!H13,"")</f>
        <v>片野 金</v>
      </c>
      <c r="C146" s="16" t="str" cm="1">
        <f t="array" aca="1" ref="C146" ca="1">IF(INDIRECT("R"&amp;ROW()&amp;"C"&amp;COLUMN()-1,FALSE)="","",((IF(OR(INDIRECT("R"&amp;ROW()&amp;"C"&amp;COLUMN()+1,FALSE)&lt;&gt;"",INDIRECT("R"&amp;ROW()&amp;"C"&amp;COLUMN()+2,FALSE)&lt;&gt;""),"　",""))))</f>
        <v/>
      </c>
      <c r="Z146" s="16" t="str">
        <f t="shared" si="2"/>
        <v/>
      </c>
    </row>
    <row r="147" spans="1:26">
      <c r="A147" s="67"/>
      <c r="B147" s="16" t="s">
        <v>6</v>
      </c>
      <c r="C147" s="16" t="str" cm="1">
        <f t="array" aca="1" ref="C147" ca="1">IF(INDIRECT("R"&amp;ROW()&amp;"C"&amp;COLUMN()-1,FALSE)="","",((IF(OR(INDIRECT("R"&amp;ROW()&amp;"C"&amp;COLUMN()+1,FALSE)&lt;&gt;"",INDIRECT("R"&amp;ROW()&amp;"C"&amp;COLUMN()+2,FALSE)&lt;&gt;""),"　",""))))</f>
        <v/>
      </c>
      <c r="Z147" s="16" t="str">
        <f t="shared" si="2"/>
        <v/>
      </c>
    </row>
    <row r="148" spans="1:26">
      <c r="A148" s="66" t="s">
        <v>23</v>
      </c>
      <c r="B148" s="16" t="s">
        <v>6</v>
      </c>
      <c r="C148" s="16" t="str" cm="1">
        <f t="array" aca="1" ref="C148" ca="1">IF(INDIRECT("R"&amp;ROW()&amp;"C"&amp;COLUMN()-1,FALSE)="","",((IF(OR(INDIRECT("R"&amp;ROW()&amp;"C"&amp;COLUMN()+1,FALSE)&lt;&gt;"",INDIRECT("R"&amp;ROW()&amp;"C"&amp;COLUMN()+2,FALSE)&lt;&gt;""),"　",""))))</f>
        <v/>
      </c>
      <c r="Z148" s="16" t="str">
        <f t="shared" si="2"/>
        <v/>
      </c>
    </row>
    <row r="149" spans="1:26">
      <c r="A149" s="67" t="s">
        <v>211</v>
      </c>
      <c r="B149" s="16" t="str">
        <f>IF(Sheet1!H14&lt;&gt;"",Sheet1!H14,"")</f>
        <v>菅原 金</v>
      </c>
      <c r="C149" s="16" t="str" cm="1">
        <f t="array" aca="1" ref="C149" ca="1">IF(INDIRECT("R"&amp;ROW()&amp;"C"&amp;COLUMN()-1,FALSE)="","",((IF(OR(INDIRECT("R"&amp;ROW()&amp;"C"&amp;COLUMN()+1,FALSE)&lt;&gt;"",INDIRECT("R"&amp;ROW()&amp;"C"&amp;COLUMN()+2,FALSE)&lt;&gt;""),"　",""))))</f>
        <v/>
      </c>
      <c r="Z149" s="16" t="str">
        <f t="shared" si="2"/>
        <v/>
      </c>
    </row>
    <row r="150" spans="1:26">
      <c r="B150" s="16" t="s">
        <v>6</v>
      </c>
      <c r="C150" s="16" t="str" cm="1">
        <f t="array" aca="1" ref="C150" ca="1">IF(INDIRECT("R"&amp;ROW()&amp;"C"&amp;COLUMN()-1,FALSE)="","",((IF(OR(INDIRECT("R"&amp;ROW()&amp;"C"&amp;COLUMN()+1,FALSE)&lt;&gt;"",INDIRECT("R"&amp;ROW()&amp;"C"&amp;COLUMN()+2,FALSE)&lt;&gt;""),"　",""))))</f>
        <v/>
      </c>
      <c r="Z150" s="16" t="str">
        <f t="shared" si="2"/>
        <v/>
      </c>
    </row>
    <row r="151" spans="1:26">
      <c r="A151" s="2" t="s">
        <v>213</v>
      </c>
      <c r="B151" s="16" t="str">
        <f>IF(COUNTIF(データ処理部!$H$15:H$38,"")=0,"",
IFERROR(INDEX(db!$M$4:$N$27,MATCH(SMALL(db!$M$4:$N$27,COLUMN()-1),db!$N$4:$N$27,0),1)&amp;"　",""))</f>
        <v/>
      </c>
      <c r="C151" s="16" t="str">
        <f>IF(COUNTIF(データ処理部!$H$15:I$38,"")=0,"",
IFERROR(INDEX(db!$M$4:$N$27,MATCH(SMALL(db!$M$4:$N$27,COLUMN()-1),db!$N$4:$N$27,0),1)&amp;"　",""))</f>
        <v/>
      </c>
      <c r="D151" s="16" t="str">
        <f>IF(COUNTIF(データ処理部!$H$15:J$38,"")=0,"",
IFERROR(INDEX(db!$M$4:$N$27,MATCH(SMALL(db!$M$4:$N$27,COLUMN()-1),db!$N$4:$N$27,0),1)&amp;"　",""))</f>
        <v/>
      </c>
      <c r="E151" s="16" t="str">
        <f>IF(COUNTIF(データ処理部!$H$15:K$38,"")=0,"",
IFERROR(INDEX(db!$M$4:$N$27,MATCH(SMALL(db!$M$4:$N$27,COLUMN()-1),db!$N$4:$N$27,0),1)&amp;"　",""))</f>
        <v/>
      </c>
      <c r="F151" s="16" t="str">
        <f>IF(COUNTIF(データ処理部!$H$15:L$38,"")=0,"",
IFERROR(INDEX(db!$M$4:$N$27,MATCH(SMALL(db!$M$4:$N$27,COLUMN()-1),db!$N$4:$N$27,0),1)&amp;"　",""))</f>
        <v/>
      </c>
      <c r="G151" s="16" t="str">
        <f>IF(COUNTIF(データ処理部!$H$15:M$38,"")=0,"",
IFERROR(INDEX(db!$M$4:$N$27,MATCH(SMALL(db!$M$4:$N$27,COLUMN()-1),db!$N$4:$N$27,0),1)&amp;"　",""))</f>
        <v/>
      </c>
      <c r="H151" s="16" t="str">
        <f>IF(COUNTIF(データ処理部!$H$15:N$38,"")=0,"",
IFERROR(INDEX(db!$M$4:$N$27,MATCH(SMALL(db!$M$4:$N$27,COLUMN()-1),db!$N$4:$N$27,0),1)&amp;"　",""))</f>
        <v/>
      </c>
      <c r="I151" s="16" t="str">
        <f>IF(COUNTIF(データ処理部!$H$15:O$38,"")=0,"",
IFERROR(INDEX(db!$M$4:$N$27,MATCH(SMALL(db!$M$4:$N$27,COLUMN()-1),db!$N$4:$N$27,0),1)&amp;"　",""))</f>
        <v/>
      </c>
      <c r="J151" s="16" t="str">
        <f>IF(COUNTIF(データ処理部!$H$15:P$38,"")=0,"",
IFERROR(INDEX(db!$M$4:$N$27,MATCH(SMALL(db!$M$4:$N$27,COLUMN()-1),db!$N$4:$N$27,0),1)&amp;"　",""))</f>
        <v/>
      </c>
      <c r="K151" s="16" t="str">
        <f>IF(COUNTIF(データ処理部!$H$15:Q$38,"")=0,"",
IFERROR(INDEX(db!$M$4:$N$27,MATCH(SMALL(db!$M$4:$N$27,COLUMN()-1),db!$N$4:$N$27,0),1)&amp;"　",""))</f>
        <v/>
      </c>
      <c r="L151" s="16" t="str">
        <f>IF(COUNTIF(データ処理部!$H$15:R$38,"")=0,"",
IFERROR(INDEX(db!$M$4:$N$27,MATCH(SMALL(db!$M$4:$N$27,COLUMN()-1),db!$N$4:$N$27,0),1)&amp;"　",""))</f>
        <v/>
      </c>
      <c r="M151" s="16" t="str">
        <f>IF(COUNTIF(データ処理部!$H$15:S$38,"")=0,"",
IFERROR(INDEX(db!$M$4:$N$27,MATCH(SMALL(db!$M$4:$N$27,COLUMN()-1),db!$N$4:$N$27,0),1)&amp;"　",""))</f>
        <v/>
      </c>
      <c r="N151" s="16" t="str">
        <f>IF(COUNTIF(データ処理部!$H$15:T$38,"")=0,"",
IFERROR(INDEX(db!$M$4:$N$27,MATCH(SMALL(db!$M$4:$N$27,COLUMN()-1),db!$N$4:$N$27,0),1)&amp;"　",""))</f>
        <v/>
      </c>
      <c r="O151" s="16" t="str">
        <f>IF(COUNTIF(データ処理部!$H$15:U$38,"")=0,"",
IFERROR(INDEX(db!$M$4:$N$27,MATCH(SMALL(db!$M$4:$N$27,COLUMN()-1),db!$N$4:$N$27,0),1)&amp;"　",""))</f>
        <v/>
      </c>
      <c r="P151" s="16" t="str">
        <f>IF(COUNTIF(データ処理部!$H$15:V$38,"")=0,"",
IFERROR(INDEX(db!$M$4:$N$27,MATCH(SMALL(db!$M$4:$N$27,COLUMN()-1),db!$N$4:$N$27,0),1)&amp;"　",""))</f>
        <v/>
      </c>
      <c r="Q151" s="16" t="str">
        <f>IF(COUNTIF(データ処理部!$H$15:W$38,"")=0,"",
IFERROR(INDEX(db!$M$4:$N$27,MATCH(SMALL(db!$M$4:$N$27,COLUMN()-1),db!$N$4:$N$27,0),1)&amp;"　",""))</f>
        <v/>
      </c>
      <c r="R151" s="16" t="str">
        <f>IF(COUNTIF(データ処理部!$H$15:X$38,"")=0,"",
IFERROR(INDEX(db!$M$4:$N$27,MATCH(SMALL(db!$M$4:$N$27,COLUMN()-1),db!$N$4:$N$27,0),1)&amp;"　",""))</f>
        <v/>
      </c>
      <c r="S151" s="16" t="str">
        <f>IF(COUNTIF(データ処理部!$H$15:Y$38,"")=0,"",
IFERROR(INDEX(db!$M$4:$N$27,MATCH(SMALL(db!$M$4:$N$27,COLUMN()-1),db!$N$4:$N$27,0),1)&amp;"　",""))</f>
        <v/>
      </c>
      <c r="T151" s="16" t="str">
        <f>IF(COUNTIF(データ処理部!$H$15:Z$38,"")=0,"",
IFERROR(INDEX(db!$M$4:$N$27,MATCH(SMALL(db!$M$4:$N$27,COLUMN()-1),db!$N$4:$N$27,0),1)&amp;"　",""))</f>
        <v/>
      </c>
      <c r="U151" s="16" t="str">
        <f>IF(COUNTIF(データ処理部!$H$15:AA$38,"")=0,"",
IFERROR(INDEX(db!$M$4:$N$27,MATCH(SMALL(db!$M$4:$N$27,COLUMN()-1),db!$N$4:$N$27,0),1)&amp;"　",""))</f>
        <v/>
      </c>
      <c r="V151" s="16" t="str">
        <f>IF(COUNTIF(データ処理部!$H$15:AB$38,"")=0,"",
IFERROR(INDEX(db!$M$4:$N$27,MATCH(SMALL(db!$M$4:$N$27,COLUMN()-1),db!$N$4:$N$27,0),1)&amp;"　",""))</f>
        <v/>
      </c>
      <c r="W151" s="16" t="str">
        <f>IF(COUNTIF(データ処理部!$H$15:AC$38,"")=0,"",
IFERROR(INDEX(db!$M$4:$N$27,MATCH(SMALL(db!$M$4:$N$27,COLUMN()-1),db!$N$4:$N$27,0),1)&amp;"　",""))</f>
        <v/>
      </c>
      <c r="X151" s="16" t="str">
        <f>IF(COUNTIF(データ処理部!$H$15:AD$38,"")=0,"",
IFERROR(INDEX(db!$M$4:$N$27,MATCH(SMALL(db!$M$4:$N$27,COLUMN()-1),db!$N$4:$N$27,0),1)&amp;"　",""))</f>
        <v/>
      </c>
      <c r="Y151" s="16" t="str">
        <f>IF(COUNTIF(データ処理部!$H$15:AE$38,"")=0,"",
IFERROR(INDEX(db!$M$4:$N$27,MATCH(SMALL(db!$M$4:$N$27,COLUMN()-1),db!$N$4:$N$27,0),1)&amp;"　",""))</f>
        <v/>
      </c>
      <c r="Z151" s="16" t="str">
        <f t="shared" si="2"/>
        <v/>
      </c>
    </row>
    <row r="152" spans="1:26">
      <c r="A152" s="66"/>
      <c r="B152" s="19" t="s">
        <v>6</v>
      </c>
      <c r="C152" s="16" t="str" cm="1">
        <f t="array" aca="1" ref="C152" ca="1">IF(INDIRECT("R"&amp;ROW()&amp;"C"&amp;COLUMN()-1,FALSE)="","",((IF(OR(INDIRECT("R"&amp;ROW()&amp;"C"&amp;COLUMN()+1,FALSE)&lt;&gt;"",INDIRECT("R"&amp;ROW()&amp;"C"&amp;COLUMN()+2,FALSE)&lt;&gt;""),"　",""))))</f>
        <v/>
      </c>
      <c r="Z152" s="16" t="str">
        <f t="shared" si="2"/>
        <v/>
      </c>
    </row>
    <row r="153" spans="1:26">
      <c r="A153" s="118">
        <f>A123+1</f>
        <v>44268</v>
      </c>
      <c r="B153" s="16" t="s">
        <v>6</v>
      </c>
      <c r="C153" s="16" t="str" cm="1">
        <f t="array" aca="1" ref="C153" ca="1">IF(INDIRECT("R"&amp;ROW()&amp;"C"&amp;COLUMN()-1,FALSE)="","",((IF(OR(INDIRECT("R"&amp;ROW()&amp;"C"&amp;COLUMN()+1,FALSE)&lt;&gt;"",INDIRECT("R"&amp;ROW()&amp;"C"&amp;COLUMN()+2,FALSE)&lt;&gt;""),"　",""))))</f>
        <v/>
      </c>
      <c r="Z153" s="16" t="str">
        <f t="shared" si="2"/>
        <v/>
      </c>
    </row>
    <row r="154" spans="1:26">
      <c r="A154" s="66" t="s">
        <v>19</v>
      </c>
      <c r="B154" s="19" t="s">
        <v>6</v>
      </c>
      <c r="C154" s="16" t="str" cm="1">
        <f t="array" aca="1" ref="C154" ca="1">IF(INDIRECT("R"&amp;ROW()&amp;"C"&amp;COLUMN()-1,FALSE)="","",((IF(OR(INDIRECT("R"&amp;ROW()&amp;"C"&amp;COLUMN()+1,FALSE)&lt;&gt;"",INDIRECT("R"&amp;ROW()&amp;"C"&amp;COLUMN()+2,FALSE)&lt;&gt;""),"　",""))))</f>
        <v/>
      </c>
      <c r="Z154" s="16" t="str">
        <f t="shared" si="2"/>
        <v/>
      </c>
    </row>
    <row r="155" spans="1:26">
      <c r="A155" s="18" t="s">
        <v>112</v>
      </c>
      <c r="B155" s="19" t="str">
        <f>IF(Sheet1!I2&lt;&gt;"",Sheet1!I2,"")</f>
        <v>塚原 土</v>
      </c>
      <c r="C155" s="16" t="str" cm="1">
        <f t="array" aca="1" ref="C155" ca="1">IF(INDIRECT("R"&amp;ROW()&amp;"C"&amp;COLUMN()-1,FALSE)="","",((IF(OR(INDIRECT("R"&amp;ROW()&amp;"C"&amp;COLUMN()+1,FALSE)&lt;&gt;"",INDIRECT("R"&amp;ROW()&amp;"C"&amp;COLUMN()+2,FALSE)&lt;&gt;""),"　",""))))</f>
        <v/>
      </c>
      <c r="Z155" s="16" t="str">
        <f t="shared" si="2"/>
        <v/>
      </c>
    </row>
    <row r="156" spans="1:26">
      <c r="A156" s="18" t="str">
        <f>IF(B156&lt;&gt;"","操車研修　","")</f>
        <v/>
      </c>
      <c r="B156" s="19" t="str" cm="1">
        <f t="array" ref="B156">IFERROR( IF( INDEX( Sheet1!$A$15:I22, IFERROR( MATCH( "*操車*", Sheet1!$A$15:$A$22, 0 ), "" ), ((ROW()-6)/30)+4 ) = "", "", IFERROR( INDEX( Sheet1!$A$15:I22, IFERROR( MATCH( "*操車*", Sheet1!$A$15:$A$22, 0 ), "" ), ((ROW()-6)/30)+4 ) &amp; "(14時～20時)", "" ) ), "" )</f>
        <v/>
      </c>
      <c r="C156" s="16" t="str" cm="1">
        <f t="array" aca="1" ref="C156" ca="1">IF(INDIRECT("R"&amp;ROW()&amp;"C"&amp;COLUMN()-1,FALSE)="","",((IF(OR(INDIRECT("R"&amp;ROW()&amp;"C"&amp;COLUMN()+1,FALSE)&lt;&gt;"",INDIRECT("R"&amp;ROW()&amp;"C"&amp;COLUMN()+2,FALSE)&lt;&gt;""),"　",""))))</f>
        <v/>
      </c>
      <c r="D156" s="16" t="str" cm="1">
        <f t="array" aca="1" ref="D156" ca="1">IFERROR(
  IF(
    INDEX(
    INDIRECT( "Sheet1!A" &amp; MATCH( "*操車*", Sheet1!$A$15:$A$22, 0 ) + 15 )
    :Sheet1!I22,
    IFERROR(
      MATCH(
        "*操車*",
        INDIRECT( "Sheet1!A" &amp; MATCH( "*操車*", Sheet1!$A$15:$A$22, 0 ) + 15 )
        :Sheet1!$A$22,
        0
      ),
      ""
    ),
    ( (        ROW(
        ) - 6 ) / 30 ) + 4
    ) = "",
    "",
    IFERROR(
    INDEX(
      INDIRECT( "Sheet1!A" &amp; MATCH( "*操車*", Sheet1!$A$15:$A$22, 0 ) + 15 )
      :Sheet1!I22,
      IFERROR(
        MATCH(
        "*操車*",
        INDIRECT( "Sheet1!A" &amp; MATCH( "*操車*", Sheet1!$A$15:$A$22, 0 ) + 15 )
        :Sheet1!$A$22,
        0
        ),
        ""
      ),
      ( (        ROW(
        ) - 6 ) / 30 ) + 4
    ) &amp; "(14時～20時)",
    ""
    )
  ),
  ""
)</f>
        <v/>
      </c>
      <c r="J156" s="16" t="str">
        <f>IF(A156="","※操車研修","")</f>
        <v>※操車研修</v>
      </c>
      <c r="Z156" s="16" t="str">
        <f t="shared" ref="Z156:Z193" si="3">IF(A156="★年休","←ここまで","")</f>
        <v/>
      </c>
    </row>
    <row r="157" spans="1:26">
      <c r="A157" s="18" t="s">
        <v>113</v>
      </c>
      <c r="B157" s="19" t="str">
        <f>IF( COUNTIF( Sheet1!I3:I6, "*:*" )=0, Sheet1!I3&amp;"　"&amp;Sheet1!I4, IF( COUNTIF( Sheet1!I3:I6, "*:*" )=1, Sheet1!I3&amp;" "&amp;Sheet1!I4&amp;"(～21時)", IF( COUNTIF( Sheet1!I3:I6, "*:*" )=2, SUBSTITUTE(SUBSTITUTE(Sheet1!I3&amp;CHAR(10)&amp;"(～21:00)",CHAR(10),""),"(～21:00)","")&amp;"(～21時) "&amp;"　"&amp;SUBSTITUTE(SUBSTITUTE(Sheet1!I4&amp;CHAR(10)&amp;"(～21:00)",CHAR(10),""),"(～21:00)","")&amp;"(～21時)" ) ) )</f>
        <v>土田 土　菅井 土</v>
      </c>
      <c r="C157" s="16" t="str" cm="1">
        <f t="array" aca="1" ref="C157" ca="1">IF(INDIRECT("R"&amp;ROW()&amp;"C"&amp;COLUMN()-1,FALSE)="","",((IF(OR(INDIRECT("R"&amp;ROW()&amp;"C"&amp;COLUMN()+1,FALSE)&lt;&gt;"",INDIRECT("R"&amp;ROW()&amp;"C"&amp;COLUMN()+2,FALSE)&lt;&gt;""),"　",""))))</f>
        <v/>
      </c>
      <c r="F157" s="117"/>
      <c r="Z157" s="16" t="str">
        <f t="shared" si="3"/>
        <v/>
      </c>
    </row>
    <row r="158" spans="1:26">
      <c r="A158" s="18" t="s">
        <v>114</v>
      </c>
      <c r="B158" s="19" t="str">
        <f>IF(COUNTIF(Sheet1!I3:I6,"*:*")=0, Sheet1!I5&amp;"　"&amp;Sheet1!I6, IF(COUNTIF(Sheet1!I3:I6,"*:*")=1, Sheet1!I6, IF(COUNTIF(Sheet1!I3:I6,"*:*")=2, "-")))</f>
        <v>三谷 土　黒木 土</v>
      </c>
      <c r="C158" s="16" t="str" cm="1">
        <f t="array" aca="1" ref="C158" ca="1">IF(INDIRECT("R"&amp;ROW()&amp;"C"&amp;COLUMN()-1,FALSE)="","",((IF(OR(INDIRECT("R"&amp;ROW()&amp;"C"&amp;COLUMN()+1,FALSE)&lt;&gt;"",INDIRECT("R"&amp;ROW()&amp;"C"&amp;COLUMN()+2,FALSE)&lt;&gt;""),"　",""))))</f>
        <v/>
      </c>
      <c r="Z158" s="16" t="str">
        <f t="shared" si="3"/>
        <v/>
      </c>
    </row>
    <row r="159" spans="1:26">
      <c r="A159" s="18" t="str">
        <f>IF(B159&lt;&gt;"","折早研修　","")</f>
        <v/>
      </c>
      <c r="B159" s="16" t="str" cm="1">
        <f t="array" ref="B159">IF(AND(COUNTIF(Sheet1!$A$15:$A$22,"*折防早番*")&gt;0,COUNTIF(Sheet1!$A$15:$A$22,"*折早*")&gt;0)=TRUE,"エラー！
Sheet1の見習欄の駅名を統一してください",
IFERROR(IF(INDEX(Sheet1!$A$15:I22,IFERROR(IFERROR(MATCH("*折防早番*",Sheet1!$A$15:$A$22,0),MATCH("*折早*",Sheet1!$A$15:$A$22,0)),""),((ROW()-9)/30)+4)="","",IFERROR(INDEX(Sheet1!$A$15:I22,IFERROR(IFERROR(MATCH("*折防早番*",Sheet1!$A$15:$A$22,0),MATCH("*折早*",Sheet1!$A$15:$A$22,0)),""),((ROW()-9)/30)+4)&amp;"(15時50分～19時)","")),"")
)</f>
        <v/>
      </c>
      <c r="C159" s="16" t="str" cm="1">
        <f t="array" aca="1" ref="C159" ca="1">IF(INDIRECT("R"&amp;ROW()&amp;"C"&amp;COLUMN()-1,FALSE)="","",((IF(OR(INDIRECT("R"&amp;ROW()&amp;"C"&amp;COLUMN()+1,FALSE)&lt;&gt;"",INDIRECT("R"&amp;ROW()&amp;"C"&amp;COLUMN()+2,FALSE)&lt;&gt;""),"　",""))))</f>
        <v/>
      </c>
      <c r="D159" s="16" t="str" cm="1">
        <f t="array" aca="1" ref="D159" ca="1">IF(AND(COUNTIF(Sheet1!$A$15:$A$22,"*折防早番*")&gt;0,COUNTIF(Sheet1!$A$15:$A$22,"*折早*")&gt;0)=TRUE,"エラー！
Sheet1の見習欄の駅名を統一してください",
IFERROR(
  IF(
    INDEX(
    INDIRECT( "Sheet1!A" &amp; MATCH( "*折防早番*", Sheet1!$A$15:$A$22, 0 ) + 15 )
    :Sheet1!I22,
    IFERROR(
      MATCH(
        "*折防早番*",
        INDIRECT( "Sheet1!A" &amp; MATCH( "*折防早番*", Sheet1!$A$15:$A$22, 0 ) + 15 )
        :Sheet1!$A$22,
        0
      ),
      ""
    ),
    ( (        ROW(
        ) - 9 ) / 30 ) + 4
    ) = "",
    "",
    IFERROR(
    INDEX(
      INDIRECT( "Sheet1!A" &amp; MATCH( "*折防早番*", Sheet1!$A$15:$A$22, 0 ) + 15 )
      :Sheet1!I22,
      IFERROR(
        MATCH(
        "*折防早番*",
        INDIRECT( "Sheet1!A" &amp; MATCH( "*折防早番*", Sheet1!$A$15:$A$22, 0 ) + 15 )
        :Sheet1!$A$22,
        0
        ),
        ""
      ),
      ( (        ROW(
        ) - 9 ) / 30 ) + 4
    ) &amp; "(15時50分～19時)",
    ""
    )
  ),
  ""
)
)</f>
        <v/>
      </c>
      <c r="E159" s="16" t="str" cm="1">
        <f t="array" aca="1" ref="E159" ca="1">IF(AND(COUNTIF(Sheet1!$A$15:$A$22,"*折防早番*")&gt;0,COUNTIF(Sheet1!$A$15:$A$22,"*折早*")&gt;0)=TRUE,"",
IFERROR(
  IF(
    INDEX(
    INDIRECT( "Sheet1!A" &amp; MATCH( "*折早*", Sheet1!$A$15:$A$22, 0 ) + 15 )
    :Sheet1!I22,
    IFERROR(
      MATCH(
        "*折早*",
        INDIRECT( "Sheet1!A" &amp; MATCH( "*折早*", Sheet1!$A$15:$A$22, 0 ) + 15 )
        :Sheet1!$A$22,
        0
      ),
      ""
    ),
    ( (        ROW(
        ) - 9 ) / 30 ) + 4
    ) = "",
    "",
    IFERROR(
    INDEX(
      INDIRECT( "Sheet1!A" &amp; MATCH( "*折早*", Sheet1!$A$15:$A$22, 0 ) + 15 )
      :Sheet1!I22,
      IFERROR(
        MATCH(
        "*折早*",
        INDIRECT( "Sheet1!A" &amp; MATCH( "*折早*", Sheet1!$A$15:$A$22, 0 ) + 15 )
        :Sheet1!$A$22,
        0
        ),
        ""
      ),
      ( (        ROW(
        ) - 9 ) / 30 ) + 4
    ) &amp; "(15時50分～19時)",
    ""
    )
  ),
  ""
)
)</f>
        <v/>
      </c>
      <c r="F159" s="67"/>
      <c r="J159" s="16" t="str">
        <f>IF(A159="","※折早研修","")</f>
        <v>※折早研修</v>
      </c>
      <c r="Z159" s="16" t="str">
        <f t="shared" si="3"/>
        <v/>
      </c>
    </row>
    <row r="160" spans="1:26">
      <c r="A160" s="18" t="str">
        <f>IF(B160&lt;&gt;"","折遅研修　","")</f>
        <v/>
      </c>
      <c r="B160" s="16" t="str" cm="1">
        <f t="array" ref="B160">IF(AND(COUNTIF(Sheet1!$A$15:$A$22,"*折防遅番*")&gt;0,COUNTIF(Sheet1!$A$15:$A$22,"*折遅*")&gt;0)=TRUE,"エラー！Sheet1の見習欄の駅名を統一してください",
IFERROR(IF(INDEX(Sheet1!$A$15:I22,IFERROR(IFERROR(MATCH("*折防遅番*",Sheet1!$A$15:$A$22,0),MATCH("*折遅*",Sheet1!$A$15:$A$22,0)),""),((ROW()-10)/30)+4)="","",IFERROR(INDEX(Sheet1!$A$15:I22,IFERROR(IFERROR(MATCH("*折防遅番*",Sheet1!$A$15:$A$22,0),MATCH("*折遅*",Sheet1!$A$15:$A$22,0)),""),((ROW()-10)/30)+4)&amp;"(17時～21時)","")),"")
)</f>
        <v/>
      </c>
      <c r="C160" s="16" t="str" cm="1">
        <f t="array" aca="1" ref="C160" ca="1">IF(INDIRECT("R"&amp;ROW()&amp;"C"&amp;COLUMN()-1,FALSE)="","",((IF(OR(INDIRECT("R"&amp;ROW()&amp;"C"&amp;COLUMN()+1,FALSE)&lt;&gt;"",INDIRECT("R"&amp;ROW()&amp;"C"&amp;COLUMN()+2,FALSE)&lt;&gt;""),"　",""))))</f>
        <v/>
      </c>
      <c r="D160" s="16" t="str" cm="1">
        <f t="array" aca="1" ref="D160" ca="1">IF(AND(COUNTIF(Sheet1!$A$15:$A$22,"*折防遅番*")&gt;0,COUNTIF(Sheet1!$A$15:$A$22,"*折遅*")&gt;0)=TRUE,"エラー！
Sheet1の見習欄の駅名を統一してください",
IFERROR(
  IF(
    INDEX(
    INDIRECT( "Sheet1!A" &amp; MATCH( "*折防遅番*", Sheet1!$A$15:$A$22, 0 ) + 15 )
    :Sheet1!I22,
    IFERROR(
      MATCH(
        "*折防遅番*",
        INDIRECT( "Sheet1!A" &amp; MATCH( "*折防遅番*", Sheet1!$A$15:$A$22, 0 ) + 15 )
        :Sheet1!$A$22,
        0
      ),
      ""
    ),
    ( (        ROW(
        ) - 10 ) / 30 ) + 4
    ) = "",
    "",
    IFERROR(
    INDEX(
      INDIRECT( "Sheet1!A" &amp; MATCH( "*折防遅番*", Sheet1!$A$15:$A$22, 0 ) + 15 )
      :Sheet1!I22,
      IFERROR(
        MATCH(
        "*折防遅番*",
        INDIRECT( "Sheet1!A" &amp; MATCH( "*折防遅番*", Sheet1!$A$15:$A$22, 0 ) + 15 )
        :Sheet1!$A$22,
        0
        ),
        ""
      ),
      ( (        ROW(
        ) - 10 ) / 30 ) + 4
    ) &amp; "(17時～21時)",
    ""
    )
  ),
  ""
)
)</f>
        <v/>
      </c>
      <c r="E160" s="16" t="str" cm="1">
        <f t="array" aca="1" ref="E160" ca="1">IF(AND(COUNTIF(Sheet1!$A$15:$A$22,"*折防遅番*")&gt;0,COUNTIF(Sheet1!$A$15:$A$22,"*折遅*")&gt;0)=TRUE,"",
IFERROR(
  IF(
    INDEX(
    INDIRECT( "Sheet1!A" &amp; MATCH( "*折遅*", Sheet1!$A$15:$A$22, 0 ) + 15 )
    :Sheet1!I22,
    IFERROR(
      MATCH(
        "*折遅*",
        INDIRECT( "Sheet1!A" &amp; MATCH( "*折遅*", Sheet1!$A$15:$A$22, 0 ) + 15 )
        :Sheet1!$A$22,
        0
      ),
      ""
    ),
    ( (        ROW(
        ) - 10 ) / 30 ) + 4
    ) = "",
    "",
    IFERROR(
    INDEX(
      INDIRECT( "Sheet1!A" &amp; MATCH( "*折遅*", Sheet1!$A$15:$A$22, 0 ) + 15 )
      :Sheet1!I22,
      IFERROR(
        MATCH(
        "*折遅*",
        INDIRECT( "Sheet1!A" &amp; MATCH( "*折遅*", Sheet1!$A$15:$A$22, 0 ) + 15 )
        :Sheet1!$A$22,
        0
        ),
        ""
      ),
      ( (        ROW(
        ) - 10 ) / 30 ) + 4
    ) &amp; "(17～21時)",
    ""
    )
  ),
  ""
)
)</f>
        <v/>
      </c>
      <c r="F160" s="67"/>
      <c r="J160" s="16" t="str">
        <f>IF(A160="","※折遅研修","")</f>
        <v>※折遅研修</v>
      </c>
      <c r="Z160" s="16" t="str">
        <f t="shared" si="3"/>
        <v/>
      </c>
    </row>
    <row r="161" spans="1:26">
      <c r="A161" s="18" t="str">
        <f>IF(B161&lt;&gt;"","折防ロング研修","")</f>
        <v/>
      </c>
      <c r="B161" s="16" t="str" cm="1">
        <f t="array" ref="B161">IF(AND(COUNTIF(Sheet1!$A$15:$A$22,"*折防ロング*")&gt;0,COUNTIF(Sheet1!$A$15:$A$22,"*折ロング*")&gt;0)=TRUE,"エラー！
Sheet1の見習欄の駅名を統一してください",
IFERROR(IF(INDEX(Sheet1!$A$15:I22,IFERROR(IFERROR(MATCH("*折防ロング*",Sheet1!$A$15:$A$22,0),MATCH("*折ロング*",Sheet1!$A$15:$A$22,0)),""),((ROW()-11)/30)+4)="","",IFERROR(INDEX(Sheet1!$A$15:I22,IFERROR(IFERROR(MATCH("*折防ロング*",Sheet1!$A$15:$A$22,0),MATCH("*折ロング*",Sheet1!$A$15:$A$22,0)),""),((ROW()-11)/30)+4)&amp;"(15時50分～21時)","")),"")
)</f>
        <v/>
      </c>
      <c r="C161" s="16" t="str" cm="1">
        <f t="array" aca="1" ref="C161" ca="1">IF(INDIRECT("R"&amp;ROW()&amp;"C"&amp;COLUMN()-1,FALSE)="","",((IF(OR(INDIRECT("R"&amp;ROW()&amp;"C"&amp;COLUMN()+1,FALSE)&lt;&gt;"",INDIRECT("R"&amp;ROW()&amp;"C"&amp;COLUMN()+2,FALSE)&lt;&gt;""),"　",""))))</f>
        <v/>
      </c>
      <c r="D161" s="16" t="str" cm="1">
        <f t="array" aca="1" ref="D161" ca="1">IFERROR(
  IF(
    INDEX(
    INDIRECT( "Sheet1!A" &amp; MATCH( "*折防ロング*", Sheet1!$A$15:$A$22, 0 ) + 15 )
    :Sheet1!I22,
    IFERROR(
      MATCH(
        "*折防ロング*",
        INDIRECT( "Sheet1!A" &amp; MATCH( "*折防ロング*", Sheet1!$A$15:$A$22, 0 ) + 15 )
        :Sheet1!$A$22,
        0
      ),
      ""
    ),
    ( (        ROW(
        ) - 11 ) / 30 ) + 4
    ) = "",
    "",
    IFERROR(
    INDEX(
      INDIRECT( "Sheet1!A" &amp; MATCH( "*折防ロング*", Sheet1!$A$15:$A$22, 0 ) + 15 )
      :Sheet1!I22,
      IFERROR(
        MATCH(
        "*折防ロング*",
        INDIRECT( "Sheet1!A" &amp; MATCH( "*折防ロング*", Sheet1!$A$15:$A$22, 0 ) + 15 )
        :Sheet1!$A$22,
        0
        ),
        ""
      ),
      ( (        ROW(
        ) - 11 ) / 30 ) + 4
    ) &amp; "(15時50分～21時)",
    ""
    )
  ),
  ""
)</f>
        <v/>
      </c>
      <c r="F161" s="67"/>
      <c r="J161" s="16" t="str">
        <f>IF(A161="","※折防ロング研修","")</f>
        <v>※折防ロング研修</v>
      </c>
      <c r="Z161" s="16" t="str">
        <f t="shared" si="3"/>
        <v/>
      </c>
    </row>
    <row r="162" spans="1:26">
      <c r="A162" s="18"/>
      <c r="B162" s="16" t="s">
        <v>6</v>
      </c>
      <c r="C162" s="16" t="str" cm="1">
        <f t="array" aca="1" ref="C162" ca="1">IF(INDIRECT("R"&amp;ROW()&amp;"C"&amp;COLUMN()-1,FALSE)="","",((IF(OR(INDIRECT("R"&amp;ROW()&amp;"C"&amp;COLUMN()+1,FALSE)&lt;&gt;"",INDIRECT("R"&amp;ROW()&amp;"C"&amp;COLUMN()+2,FALSE)&lt;&gt;""),"　",""))))</f>
        <v/>
      </c>
      <c r="F162" s="67"/>
      <c r="Z162" s="16" t="str">
        <f t="shared" si="3"/>
        <v/>
      </c>
    </row>
    <row r="163" spans="1:26">
      <c r="A163" s="66" t="s">
        <v>20</v>
      </c>
      <c r="B163" s="16" t="s">
        <v>6</v>
      </c>
      <c r="C163" s="16" t="str" cm="1">
        <f t="array" aca="1" ref="C163" ca="1">IF(INDIRECT("R"&amp;ROW()&amp;"C"&amp;COLUMN()-1,FALSE)="","",((IF(OR(INDIRECT("R"&amp;ROW()&amp;"C"&amp;COLUMN()+1,FALSE)&lt;&gt;"",INDIRECT("R"&amp;ROW()&amp;"C"&amp;COLUMN()+2,FALSE)&lt;&gt;""),"　",""))))</f>
        <v/>
      </c>
      <c r="Z163" s="16" t="str">
        <f t="shared" si="3"/>
        <v/>
      </c>
    </row>
    <row r="164" spans="1:26">
      <c r="A164" s="67"/>
      <c r="C164" s="16" t="str" cm="1">
        <f t="array" aca="1" ref="C164" ca="1">IF(INDIRECT("R"&amp;ROW()&amp;"C"&amp;COLUMN()-1,FALSE)="","",((IF(OR(INDIRECT("R"&amp;ROW()&amp;"C"&amp;COLUMN()+1,FALSE)&lt;&gt;"",INDIRECT("R"&amp;ROW()&amp;"C"&amp;COLUMN()+2,FALSE)&lt;&gt;""),"　",""))))</f>
        <v/>
      </c>
    </row>
    <row r="165" spans="1:26">
      <c r="A165" s="67" t="s">
        <v>218</v>
      </c>
      <c r="B165" s="16" t="str">
        <f>IF(
  COUNTIF(
    Sheet1!I8:I11,
    "*:*"
  ) = 0,
  Sheet1!I8 &amp; "　" &amp; Sheet1!I9,
  IF(
    COUNTIF(
    Sheet1!I8:I11,
    "*:*"
    ) = 1,
    Sheet1!I8 &amp; "　" &amp;
SUBSTITUTE(
    SUBSTITUTE(
    Sheet1!I9 &amp;
    CHAR(
      10
    ) &amp; "(～20:30)",
    CHAR(
      10
    ),
    ""
    ),
    "(～20:30)",
    ""
  )
 &amp; "(～20時30分)",
    IF(
    COUNTIF(
      Sheet1!I8:I11,
      "*:*"
    ) = 2,
    SUBSTITUTE(
    SUBSTITUTE(
    Sheet1!I8 &amp;
    CHAR(
      10
    ) &amp; "(～20:30)",
    CHAR(
      10
    ),
    ""
    ),
    "(～20:30)",
    ""
  )
&amp; "(～20時30分) " &amp;
SUBSTITUTE(
    SUBSTITUTE(
    Sheet1!I9 &amp;
    CHAR(
      10
    ) &amp; "(～20:30)",
    CHAR(
      10
    ),
    ""
    ),
    "(～20:30)",
    ""
  )
 &amp; "(～20時30分)"
    )
  )
)</f>
        <v>北原 土　二瓶 土</v>
      </c>
      <c r="C165" s="16" t="str" cm="1">
        <f t="array" aca="1" ref="C165" ca="1">IF(INDIRECT("R"&amp;ROW()&amp;"C"&amp;COLUMN()-1,FALSE)="","",((IF(OR(INDIRECT("R"&amp;ROW()&amp;"C"&amp;COLUMN()+1,FALSE)&lt;&gt;"",INDIRECT("R"&amp;ROW()&amp;"C"&amp;COLUMN()+2,FALSE)&lt;&gt;""),"　",""))))</f>
        <v/>
      </c>
      <c r="Z165" s="16" t="str">
        <f t="shared" si="3"/>
        <v/>
      </c>
    </row>
    <row r="166" spans="1:26">
      <c r="A166" s="67" t="s">
        <v>219</v>
      </c>
      <c r="B166" s="16" t="str">
        <f>IF(COUNTIF(Sheet1!I8:I11,"*:*")=0, Sheet1!I10&amp;"　"&amp;Sheet1!I11, IF(COUNTIF(Sheet1!I8:I11,"*:*")=1,Sheet1!I11, IF(COUNTIF(Sheet1!I8:I11,"*:*")=2, "-")))</f>
        <v>神谷 土　三上 土</v>
      </c>
      <c r="C166" s="16" t="str" cm="1">
        <f t="array" aca="1" ref="C166" ca="1">IF(INDIRECT("R"&amp;ROW()&amp;"C"&amp;COLUMN()-1,FALSE)="","",((IF(OR(INDIRECT("R"&amp;ROW()&amp;"C"&amp;COLUMN()+1,FALSE)&lt;&gt;"",INDIRECT("R"&amp;ROW()&amp;"C"&amp;COLUMN()+2,FALSE)&lt;&gt;""),"　",""))))</f>
        <v/>
      </c>
      <c r="Z166" s="16" t="str">
        <f t="shared" si="3"/>
        <v/>
      </c>
    </row>
    <row r="167" spans="1:26">
      <c r="A167" s="67" t="str">
        <f>IF(B167&lt;&gt;"","早番研修","")</f>
        <v/>
      </c>
      <c r="B167" s="16" t="str" cm="1">
        <f t="array" ref="B167">IFERROR(IF(INDEX(Sheet1!$A$15:I22,IFERROR(MATCH("烏丸早番",Sheet1!$A$15:$A$22,0),""),((ROW()-17)/30)+4)="","",IFERROR(INDEX(Sheet1!$A$15:I22,IFERROR(MATCH("烏丸早番",Sheet1!$A$15:$A$22,0),""),((ROW()-17)/30)+4)&amp;"(17時～19時)","")),"")</f>
        <v/>
      </c>
      <c r="C167" s="16" t="str" cm="1">
        <f t="array" aca="1" ref="C167" ca="1">IF(INDIRECT("R"&amp;ROW()&amp;"C"&amp;COLUMN()-1,FALSE)="","",((IF(OR(INDIRECT("R"&amp;ROW()&amp;"C"&amp;COLUMN()+1,FALSE)&lt;&gt;"",INDIRECT("R"&amp;ROW()&amp;"C"&amp;COLUMN()+2,FALSE)&lt;&gt;""),"　",""))))</f>
        <v/>
      </c>
      <c r="D167" s="16" t="str" cm="1">
        <f t="array" aca="1" ref="D167" ca="1">IFERROR(
  IF(
    INDEX(
    INDIRECT( "Sheet1!A" &amp; MATCH( "烏丸早番", Sheet1!$A$15:$A$22, 0 ) + 15 )
    :Sheet1!I22,
    IFERROR(
      MATCH(
        "烏丸早番",
        INDIRECT( "Sheet1!A" &amp; MATCH( "烏丸早番", Sheet1!$A$15:$A$22, 0 ) + 15 )
        :Sheet1!$A$22,
        0
      ),
      ""
    ),
    ( (        ROW(
        ) - 17 ) / 30 ) + 4
    ) = "",
    "",
    IFERROR(
    INDEX(
      INDIRECT( "Sheet1!A" &amp; MATCH( "烏丸早番", Sheet1!$A$15:$A$22, 0 ) + 15 )
      :Sheet1!I22,
      IFERROR(
        MATCH(
        "烏丸早番",
        INDIRECT( "Sheet1!A" &amp; MATCH( "烏丸早番", Sheet1!$A$15:$A$22, 0 ) + 15 )
        :Sheet1!$A$22,
        0
        ),
        ""
      ),
      ( (        ROW(
        ) - 17 ) / 30 ) + 4
    ) &amp; "(17時～19時)",
    ""
    )
  ),
  ""
)</f>
        <v/>
      </c>
      <c r="J167" s="16" t="str">
        <f>IF(A167="","※烏丸早番研修","")</f>
        <v>※烏丸早番研修</v>
      </c>
      <c r="Z167" s="16" t="str">
        <f t="shared" si="3"/>
        <v/>
      </c>
    </row>
    <row r="168" spans="1:26">
      <c r="A168" s="67" t="str">
        <f>IF(B168&lt;&gt;"","遅番研修","")</f>
        <v/>
      </c>
      <c r="B168" s="16" t="str" cm="1">
        <f t="array" ref="B168">IFERROR(IF(INDEX(Sheet1!$A$15:I22,IFERROR(MATCH("*烏丸遅番*",Sheet1!$A$15:$A$22,0),""),((ROW()-18)/30)+4)="","",IFERROR(INDEX(Sheet1!$A$15:I22,IFERROR(MATCH("*烏丸遅番*",Sheet1!$A$15:$A$22,0),""),((ROW()-18)/30)+4)&amp;"(18時～20時30分)","")),"")</f>
        <v/>
      </c>
      <c r="C168" s="16" t="str" cm="1">
        <f t="array" aca="1" ref="C168" ca="1">IF(INDIRECT("R"&amp;ROW()&amp;"C"&amp;COLUMN()-1,FALSE)="","",((IF(OR(INDIRECT("R"&amp;ROW()&amp;"C"&amp;COLUMN()+1,FALSE)&lt;&gt;"",INDIRECT("R"&amp;ROW()&amp;"C"&amp;COLUMN()+2,FALSE)&lt;&gt;""),"　",""))))</f>
        <v/>
      </c>
      <c r="D168" s="16" t="str" cm="1">
        <f t="array" aca="1" ref="D168" ca="1">IFERROR(
  IF(
    INDEX(
    INDIRECT( "Sheet1!A" &amp; MATCH( "*烏丸遅番*", Sheet1!$A$15:$A$22, 0 ) + 15 )
    :Sheet1!I22,
    IFERROR(
      MATCH(
        "*烏丸遅番*",
        INDIRECT( "Sheet1!A" &amp; MATCH( "*烏丸遅番*", Sheet1!$A$15:$A$22, 0 ) + 15 )
        :Sheet1!$A$22,
        0
      ),
      ""
    ),
    ( (        ROW(
        ) - 18 ) / 30 ) + 4
    ) = "",
    "",
    IFERROR(
    INDEX(
      INDIRECT( "Sheet1!A" &amp; MATCH( "*烏丸遅番*", Sheet1!$A$15:$A$22, 0 ) + 15 )
      :Sheet1!I22,
      IFERROR(
        MATCH(
        "*烏丸遅番*",
        INDIRECT( "Sheet1!A" &amp; MATCH( "*烏丸遅番*", Sheet1!$A$15:$A$22, 0 ) + 15 )
        :Sheet1!$A$22,
        0
        ),
        ""
      ),
      ( (        ROW(
        ) - 18 ) / 30 ) + 4
    ) &amp; "(18時～20時30分)",
    ""
    )
  ),
  ""
)</f>
        <v/>
      </c>
      <c r="J168" s="16" t="str">
        <f>IF(A168="","※烏丸遅番研修","")</f>
        <v>※烏丸遅番研修</v>
      </c>
      <c r="Z168" s="16" t="str">
        <f t="shared" si="3"/>
        <v/>
      </c>
    </row>
    <row r="169" spans="1:26">
      <c r="A169" s="67" t="str">
        <f ca="1">IF(OR(B169&lt;&gt;"",E169&lt;&gt;"")=TRUE,"早番ロング研修","")</f>
        <v/>
      </c>
      <c r="B169" s="16" t="str" cm="1">
        <f t="array" ref="B169">IF(AND(COUNTIF(Sheet1!$A$15:$A$22,"烏丸早番ロング")&gt;0,COUNTIF(Sheet1!$A$15:$A$22,"烏丸ロング")&gt;0)=TRUE,"エラー！
Sheet1の見習欄の駅名を統一してください",
IF(IFERROR(IFERROR(INDEX(Sheet1!$A$15:I22,IFERROR(MATCH("烏丸早番ロング",Sheet1!$A$15:$A$22,0),""),((ROW()-17)/30)+4),INDEX(Sheet1!$A$15:I22,IFERROR(MATCH("烏丸ロング",Sheet1!$A$15:$A$22,0),""),((ROW()-19)/30)+4)),"")&lt;&gt;"",
IFERROR(IFERROR(INDEX(Sheet1!$A$15:I22,IFERROR(MATCH("烏丸早番ロング",Sheet1!$A$15:$A$22,0),""),((ROW()-17)/30)+4),INDEX(Sheet1!$A$15:I22,IFERROR(MATCH("烏丸ロング",Sheet1!$A$15:$A$22,0),""),((ROW()-19)/30)+4)),"")&amp;"(17時～20時30分)",""))</f>
        <v/>
      </c>
      <c r="C169" s="16" t="str" cm="1">
        <f t="array" aca="1" ref="C169" ca="1">IF(INDIRECT("R"&amp;ROW()&amp;"C"&amp;COLUMN()-1,FALSE)="","",((IF(OR(INDIRECT("R"&amp;ROW()&amp;"C"&amp;COLUMN()+1,FALSE)&lt;&gt;"",INDIRECT("R"&amp;ROW()&amp;"C"&amp;COLUMN()+2,FALSE)&lt;&gt;""),"　",""))))</f>
        <v/>
      </c>
      <c r="D169" s="122" t="str" cm="1">
        <f t="array" aca="1" ref="D169" ca="1">IF(AND(COUNTIF(Sheet1!$A$15:$A$22,"烏丸早番ロング")&gt;0,COUNTIF(Sheet1!$A$15:$A$22,"烏丸ロング")&gt;0)=TRUE,"エラー！Sheet1の見習欄の駅名を統一してください",IF(
IFERROR(
IFERROR(
INDEX(
INDIRECT("Sheet1!A"&amp;MATCH("烏丸早番ロング",Sheet1!$A$15:$A$22,0)+15)
:Sheet1!I22,
IFERROR(
MATCH(
"烏丸早番ロング",
INDIRECT("Sheet1!A"&amp;MATCH("烏丸早番ロング",Sheet1!$A$15:$A$22,0)+15)
:Sheet1!$A$22,
0
),
""
),
((ROW(
)-19)/30)+4
),
INDEX(
INDIRECT("Sheet1!A"&amp;MATCH("烏丸早番ロング",Sheet1!$A$15:$A$22,0)+15)
:Sheet1!I22,
IFERROR(
MATCH(
"烏丸ロング",
INDIRECT("Sheet1!A"&amp;MATCH("烏丸早番ロング",Sheet1!$A$15:$A$22,0)+15)
:Sheet1!$A$22,
0
),
""
),
((ROW(
)-19)/30)+4
)
),
""
)&lt;&gt;"",
IFERROR(
IFERROR(
INDEX(
INDIRECT("Sheet1!A"&amp;MATCH("烏丸早番ロング",Sheet1!$A$15:$A$22,0)+15)
:Sheet1!I22,
IFERROR(
MATCH(
"烏丸早番ロング",
INDIRECT("Sheet1!A"&amp;MATCH("烏丸早番ロング",Sheet1!$A$15:$A$22,0)+15)
:Sheet1!$A$22,
0
),
""
),
((ROW(
)-19)/30)+4
),
INDEX(
INDIRECT("Sheet1!A"&amp;MATCH("烏丸早番ロング",Sheet1!$A$15:$A$22,0)+15)
:Sheet1!I22,
IFERROR(
MATCH(
"烏丸ロング",
INDIRECT("Sheet1!A"&amp;MATCH("烏丸早番ロング",Sheet1!$A$15:$A$22,0)+15)
:Sheet1!$A$22,
0
),
""
),
((ROW(
)-19)/30)+4
)
),
""
)&amp;"(17時～20時30分)",
""
))</f>
        <v/>
      </c>
      <c r="E169" s="16" t="str" cm="1">
        <f t="array" aca="1" ref="E169" ca="1">IF(AND(COUNTIF(Sheet1!$A$15:$A$22,"烏丸早番ロング")&gt;0,COUNTIF(Sheet1!$A$15:$A$22,"烏丸ロング")&gt;0)=TRUE,"エラー！
Sheet1の見習欄の駅名を統一してください",
IFERROR(
  IF(
    INDEX(
    INDIRECT( "Sheet1!A" &amp; MATCH( "*烏丸ロング*", Sheet1!$A$15:$A$22, 0 ) + 15 )
    :Sheet1!I22,
    IFERROR(
      MATCH(
        "*烏丸ロング*",
        INDIRECT( "Sheet1!A" &amp; MATCH( "*烏丸ロング*", Sheet1!$A$15:$A$22, 0 ) + 15 )
        :Sheet1!$A$22,
        0
      ),
      ""
    ),
    ( (        ROW(
        ) - 18 ) / 30 ) + 4
    ) = "",
    "",
    IFERROR(
    INDEX(
      INDIRECT( "Sheet1!A" &amp; MATCH( "*烏丸ロング*", Sheet1!$A$15:$A$22, 0 ) + 15 )
      :Sheet1!I22,
      IFERROR(
        MATCH(
        "*烏丸ロング*",
        INDIRECT( "Sheet1!A" &amp; MATCH( "*烏丸ロング*", Sheet1!$A$15:$A$22, 0 ) + 15 )
        :Sheet1!$A$22,
        0
        ),
        ""
      ),
      ( (        ROW(
        ) - 18 ) / 30 ) + 4
    ) &amp; "(17時～20時30分)",
    ""
    )
  ),
  ""
))</f>
        <v/>
      </c>
      <c r="J169" s="16" t="str">
        <f ca="1">IF(A169="","※烏丸早番ロング研修","")</f>
        <v>※烏丸早番ロング研修</v>
      </c>
      <c r="Z169" s="16" t="str">
        <f t="shared" ca="1" si="3"/>
        <v/>
      </c>
    </row>
    <row r="170" spans="1:26">
      <c r="A170" s="67"/>
      <c r="B170" s="16" t="s">
        <v>6</v>
      </c>
      <c r="C170" s="16" t="str" cm="1">
        <f t="array" aca="1" ref="C170" ca="1">IF(INDIRECT("R"&amp;ROW()&amp;"C"&amp;COLUMN()-1,FALSE)="","",((IF(OR(INDIRECT("R"&amp;ROW()&amp;"C"&amp;COLUMN()+1,FALSE)&lt;&gt;"",INDIRECT("R"&amp;ROW()&amp;"C"&amp;COLUMN()+2,FALSE)&lt;&gt;""),"　",""))))</f>
        <v/>
      </c>
      <c r="D170" s="122"/>
      <c r="Z170" s="16" t="str">
        <f t="shared" si="3"/>
        <v/>
      </c>
    </row>
    <row r="171" spans="1:26">
      <c r="A171" s="66"/>
      <c r="C171" s="16" t="str" cm="1">
        <f t="array" aca="1" ref="C171" ca="1">IF(INDIRECT("R"&amp;ROW()&amp;"C"&amp;COLUMN()-1,FALSE)="","",((IF(OR(INDIRECT("R"&amp;ROW()&amp;"C"&amp;COLUMN()+1,FALSE)&lt;&gt;"",INDIRECT("R"&amp;ROW()&amp;"C"&amp;COLUMN()+2,FALSE)&lt;&gt;""),"　",""))))</f>
        <v/>
      </c>
      <c r="Z171" s="16" t="str">
        <f t="shared" si="3"/>
        <v/>
      </c>
    </row>
    <row r="172" spans="1:26">
      <c r="A172" s="67"/>
      <c r="C172" s="16" t="str" cm="1">
        <f t="array" aca="1" ref="C172" ca="1">IF(INDIRECT("R"&amp;ROW()&amp;"C"&amp;COLUMN()-1,FALSE)="","",((IF(OR(INDIRECT("R"&amp;ROW()&amp;"C"&amp;COLUMN()+1,FALSE)&lt;&gt;"",INDIRECT("R"&amp;ROW()&amp;"C"&amp;COLUMN()+2,FALSE)&lt;&gt;""),"　",""))))</f>
        <v/>
      </c>
      <c r="Z172" s="16" t="str">
        <f t="shared" si="3"/>
        <v/>
      </c>
    </row>
    <row r="173" spans="1:26">
      <c r="A173" s="67"/>
      <c r="C173" s="16" t="str" cm="1">
        <f t="array" aca="1" ref="C173" ca="1">IF(INDIRECT("R"&amp;ROW()&amp;"C"&amp;COLUMN()-1,FALSE)="","",((IF(OR(INDIRECT("R"&amp;ROW()&amp;"C"&amp;COLUMN()+1,FALSE)&lt;&gt;"",INDIRECT("R"&amp;ROW()&amp;"C"&amp;COLUMN()+2,FALSE)&lt;&gt;""),"　",""))))</f>
        <v/>
      </c>
      <c r="Z173" s="16" t="str">
        <f t="shared" si="3"/>
        <v/>
      </c>
    </row>
    <row r="174" spans="1:26">
      <c r="A174" s="67"/>
      <c r="C174" s="16" t="str" cm="1">
        <f t="array" aca="1" ref="C174" ca="1">IF(INDIRECT("R"&amp;ROW()&amp;"C"&amp;COLUMN()-1,FALSE)="","",((IF(OR(INDIRECT("R"&amp;ROW()&amp;"C"&amp;COLUMN()+1,FALSE)&lt;&gt;"",INDIRECT("R"&amp;ROW()&amp;"C"&amp;COLUMN()+2,FALSE)&lt;&gt;""),"　",""))))</f>
        <v/>
      </c>
      <c r="Z174" s="16" t="str">
        <f t="shared" si="3"/>
        <v/>
      </c>
    </row>
    <row r="175" spans="1:26">
      <c r="A175" s="66"/>
      <c r="C175" s="16" t="str" cm="1">
        <f t="array" aca="1" ref="C175" ca="1">IF(INDIRECT("R"&amp;ROW()&amp;"C"&amp;COLUMN()-1,FALSE)="","",((IF(OR(INDIRECT("R"&amp;ROW()&amp;"C"&amp;COLUMN()+1,FALSE)&lt;&gt;"",INDIRECT("R"&amp;ROW()&amp;"C"&amp;COLUMN()+2,FALSE)&lt;&gt;""),"　",""))))</f>
        <v/>
      </c>
      <c r="Z175" s="16" t="str">
        <f t="shared" si="3"/>
        <v/>
      </c>
    </row>
    <row r="176" spans="1:26">
      <c r="A176" s="67"/>
      <c r="C176" s="16" t="str" cm="1">
        <f t="array" aca="1" ref="C176" ca="1">IF(INDIRECT("R"&amp;ROW()&amp;"C"&amp;COLUMN()-1,FALSE)="","",((IF(OR(INDIRECT("R"&amp;ROW()&amp;"C"&amp;COLUMN()+1,FALSE)&lt;&gt;"",INDIRECT("R"&amp;ROW()&amp;"C"&amp;COLUMN()+2,FALSE)&lt;&gt;""),"　",""))))</f>
        <v/>
      </c>
      <c r="Z176" s="16" t="str">
        <f t="shared" si="3"/>
        <v/>
      </c>
    </row>
    <row r="177" spans="1:26">
      <c r="A177" s="67"/>
      <c r="C177" s="16" t="str" cm="1">
        <f t="array" aca="1" ref="C177" ca="1">IF(INDIRECT("R"&amp;ROW()&amp;"C"&amp;COLUMN()-1,FALSE)="","",((IF(OR(INDIRECT("R"&amp;ROW()&amp;"C"&amp;COLUMN()+1,FALSE)&lt;&gt;"",INDIRECT("R"&amp;ROW()&amp;"C"&amp;COLUMN()+2,FALSE)&lt;&gt;""),"　",""))))</f>
        <v/>
      </c>
      <c r="Z177" s="16" t="str">
        <f t="shared" si="3"/>
        <v/>
      </c>
    </row>
    <row r="178" spans="1:26">
      <c r="A178" s="66" t="s">
        <v>23</v>
      </c>
      <c r="B178" s="16" t="s">
        <v>6</v>
      </c>
      <c r="C178" s="16" t="str" cm="1">
        <f t="array" aca="1" ref="C178" ca="1">IF(INDIRECT("R"&amp;ROW()&amp;"C"&amp;COLUMN()-1,FALSE)="","",((IF(OR(INDIRECT("R"&amp;ROW()&amp;"C"&amp;COLUMN()+1,FALSE)&lt;&gt;"",INDIRECT("R"&amp;ROW()&amp;"C"&amp;COLUMN()+2,FALSE)&lt;&gt;""),"　",""))))</f>
        <v/>
      </c>
      <c r="Z178" s="16" t="str">
        <f t="shared" si="3"/>
        <v/>
      </c>
    </row>
    <row r="179" spans="1:26">
      <c r="A179" s="67" t="s">
        <v>212</v>
      </c>
      <c r="B179" s="16" t="str">
        <f>IF(Sheet1!I13&lt;&gt;"",Sheet1!I13,"")</f>
        <v/>
      </c>
      <c r="C179" s="16" t="str" cm="1">
        <f t="array" aca="1" ref="C179" ca="1">IF(INDIRECT("R"&amp;ROW()&amp;"C"&amp;COLUMN()-1,FALSE)="","",((IF(OR(INDIRECT("R"&amp;ROW()&amp;"C"&amp;COLUMN()+1,FALSE)&lt;&gt;"",INDIRECT("R"&amp;ROW()&amp;"C"&amp;COLUMN()+2,FALSE)&lt;&gt;""),"　",""))))</f>
        <v/>
      </c>
      <c r="Z179" s="16" t="str">
        <f t="shared" si="3"/>
        <v/>
      </c>
    </row>
    <row r="180" spans="1:26">
      <c r="B180" s="16" t="s">
        <v>6</v>
      </c>
      <c r="C180" s="16" t="str" cm="1">
        <f t="array" aca="1" ref="C180" ca="1">IF(INDIRECT("R"&amp;ROW()&amp;"C"&amp;COLUMN()-1,FALSE)="","",((IF(OR(INDIRECT("R"&amp;ROW()&amp;"C"&amp;COLUMN()+1,FALSE)&lt;&gt;"",INDIRECT("R"&amp;ROW()&amp;"C"&amp;COLUMN()+2,FALSE)&lt;&gt;""),"　",""))))</f>
        <v/>
      </c>
      <c r="Z180" s="16" t="str">
        <f t="shared" si="3"/>
        <v/>
      </c>
    </row>
    <row r="181" spans="1:26">
      <c r="A181" s="2" t="s">
        <v>213</v>
      </c>
      <c r="B181" s="16" t="str">
        <f>IF(COUNTIF(データ処理部!$I$15:I$38,"")=0,"",
IFERROR(INDEX(db!$O$4:$P$27,MATCH(SMALL(db!$O$4:$P$27,COLUMN()-1),db!$P$4:$P$27,0),1)&amp;"　",""))</f>
        <v/>
      </c>
      <c r="C181" s="16" t="str">
        <f>IF(COUNTIF(データ処理部!$I$15:J$38,"")=0,"",
IFERROR(INDEX(db!$O$4:$P$27,MATCH(SMALL(db!$O$4:$P$27,COLUMN()-1),db!$P$4:$P$27,0),1)&amp;"　",""))</f>
        <v/>
      </c>
      <c r="D181" s="16" t="str">
        <f>IF(COUNTIF(データ処理部!$I$15:K$38,"")=0,"",
IFERROR(INDEX(db!$O$4:$P$27,MATCH(SMALL(db!$O$4:$P$27,COLUMN()-1),db!$P$4:$P$27,0),1)&amp;"　",""))</f>
        <v/>
      </c>
      <c r="E181" s="16" t="str">
        <f>IF(COUNTIF(データ処理部!$I$15:L$38,"")=0,"",
IFERROR(INDEX(db!$O$4:$P$27,MATCH(SMALL(db!$O$4:$P$27,COLUMN()-1),db!$P$4:$P$27,0),1)&amp;"　",""))</f>
        <v/>
      </c>
      <c r="F181" s="16" t="str">
        <f>IF(COUNTIF(データ処理部!$I$15:M$38,"")=0,"",
IFERROR(INDEX(db!$O$4:$P$27,MATCH(SMALL(db!$O$4:$P$27,COLUMN()-1),db!$P$4:$P$27,0),1)&amp;"　",""))</f>
        <v/>
      </c>
      <c r="G181" s="16" t="str">
        <f>IF(COUNTIF(データ処理部!$I$15:N$38,"")=0,"",
IFERROR(INDEX(db!$O$4:$P$27,MATCH(SMALL(db!$O$4:$P$27,COLUMN()-1),db!$P$4:$P$27,0),1)&amp;"　",""))</f>
        <v/>
      </c>
      <c r="H181" s="16" t="str">
        <f>IF(COUNTIF(データ処理部!$I$15:O$38,"")=0,"",
IFERROR(INDEX(db!$O$4:$P$27,MATCH(SMALL(db!$O$4:$P$27,COLUMN()-1),db!$P$4:$P$27,0),1)&amp;"　",""))</f>
        <v/>
      </c>
      <c r="I181" s="16" t="str">
        <f>IF(COUNTIF(データ処理部!$I$15:P$38,"")=0,"",
IFERROR(INDEX(db!$O$4:$P$27,MATCH(SMALL(db!$O$4:$P$27,COLUMN()-1),db!$P$4:$P$27,0),1)&amp;"　",""))</f>
        <v/>
      </c>
      <c r="J181" s="16" t="str">
        <f>IF(COUNTIF(データ処理部!$I$15:Q$38,"")=0,"",
IFERROR(INDEX(db!$O$4:$P$27,MATCH(SMALL(db!$O$4:$P$27,COLUMN()-1),db!$P$4:$P$27,0),1)&amp;"　",""))</f>
        <v/>
      </c>
      <c r="K181" s="16" t="str">
        <f>IF(COUNTIF(データ処理部!$I$15:R$38,"")=0,"",
IFERROR(INDEX(db!$O$4:$P$27,MATCH(SMALL(db!$O$4:$P$27,COLUMN()-1),db!$P$4:$P$27,0),1)&amp;"　",""))</f>
        <v/>
      </c>
      <c r="L181" s="16" t="str">
        <f>IF(COUNTIF(データ処理部!$I$15:S$38,"")=0,"",
IFERROR(INDEX(db!$O$4:$P$27,MATCH(SMALL(db!$O$4:$P$27,COLUMN()-1),db!$P$4:$P$27,0),1)&amp;"　",""))</f>
        <v/>
      </c>
      <c r="M181" s="16" t="str">
        <f>IF(COUNTIF(データ処理部!$I$15:T$38,"")=0,"",
IFERROR(INDEX(db!$O$4:$P$27,MATCH(SMALL(db!$O$4:$P$27,COLUMN()-1),db!$P$4:$P$27,0),1)&amp;"　",""))</f>
        <v/>
      </c>
      <c r="N181" s="16" t="str">
        <f>IF(COUNTIF(データ処理部!$I$15:U$38,"")=0,"",
IFERROR(INDEX(db!$O$4:$P$27,MATCH(SMALL(db!$O$4:$P$27,COLUMN()-1),db!$P$4:$P$27,0),1)&amp;"　",""))</f>
        <v/>
      </c>
      <c r="O181" s="16" t="str">
        <f>IF(COUNTIF(データ処理部!$I$15:V$38,"")=0,"",
IFERROR(INDEX(db!$O$4:$P$27,MATCH(SMALL(db!$O$4:$P$27,COLUMN()-1),db!$P$4:$P$27,0),1)&amp;"　",""))</f>
        <v/>
      </c>
      <c r="P181" s="16" t="str">
        <f>IF(COUNTIF(データ処理部!$I$15:W$38,"")=0,"",
IFERROR(INDEX(db!$O$4:$P$27,MATCH(SMALL(db!$O$4:$P$27,COLUMN()-1),db!$P$4:$P$27,0),1)&amp;"　",""))</f>
        <v/>
      </c>
      <c r="Q181" s="16" t="str">
        <f>IF(COUNTIF(データ処理部!$I$15:X$38,"")=0,"",
IFERROR(INDEX(db!$O$4:$P$27,MATCH(SMALL(db!$O$4:$P$27,COLUMN()-1),db!$P$4:$P$27,0),1)&amp;"　",""))</f>
        <v/>
      </c>
      <c r="R181" s="16" t="str">
        <f>IF(COUNTIF(データ処理部!$I$15:Y$38,"")=0,"",
IFERROR(INDEX(db!$O$4:$P$27,MATCH(SMALL(db!$O$4:$P$27,COLUMN()-1),db!$P$4:$P$27,0),1)&amp;"　",""))</f>
        <v/>
      </c>
      <c r="S181" s="16" t="str">
        <f>IF(COUNTIF(データ処理部!$I$15:Z$38,"")=0,"",
IFERROR(INDEX(db!$O$4:$P$27,MATCH(SMALL(db!$O$4:$P$27,COLUMN()-1),db!$P$4:$P$27,0),1)&amp;"　",""))</f>
        <v/>
      </c>
      <c r="T181" s="16" t="str">
        <f>IF(COUNTIF(データ処理部!$I$15:AA$38,"")=0,"",
IFERROR(INDEX(db!$O$4:$P$27,MATCH(SMALL(db!$O$4:$P$27,COLUMN()-1),db!$P$4:$P$27,0),1)&amp;"　",""))</f>
        <v/>
      </c>
      <c r="U181" s="16" t="str">
        <f>IF(COUNTIF(データ処理部!$I$15:AB$38,"")=0,"",
IFERROR(INDEX(db!$O$4:$P$27,MATCH(SMALL(db!$O$4:$P$27,COLUMN()-1),db!$P$4:$P$27,0),1)&amp;"　",""))</f>
        <v/>
      </c>
      <c r="V181" s="16" t="str">
        <f>IF(COUNTIF(データ処理部!$I$15:AC$38,"")=0,"",
IFERROR(INDEX(db!$O$4:$P$27,MATCH(SMALL(db!$O$4:$P$27,COLUMN()-1),db!$P$4:$P$27,0),1)&amp;"　",""))</f>
        <v/>
      </c>
      <c r="W181" s="16" t="str">
        <f>IF(COUNTIF(データ処理部!$I$15:AD$38,"")=0,"",
IFERROR(INDEX(db!$O$4:$P$27,MATCH(SMALL(db!$O$4:$P$27,COLUMN()-1),db!$P$4:$P$27,0),1)&amp;"　",""))</f>
        <v/>
      </c>
      <c r="X181" s="16" t="str">
        <f>IF(COUNTIF(データ処理部!$I$15:AE$38,"")=0,"",
IFERROR(INDEX(db!$O$4:$P$27,MATCH(SMALL(db!$O$4:$P$27,COLUMN()-1),db!$P$4:$P$27,0),1)&amp;"　",""))</f>
        <v/>
      </c>
      <c r="Y181" s="16" t="str">
        <f>IF(COUNTIF(データ処理部!$I$15:AF$38,"")=0,"",
IFERROR(INDEX(db!$O$4:$P$27,MATCH(SMALL(db!$O$4:$P$27,COLUMN()-1),db!$P$4:$P$27,0),1)&amp;"　",""))</f>
        <v/>
      </c>
      <c r="Z181" s="16" t="str">
        <f t="shared" si="3"/>
        <v/>
      </c>
    </row>
    <row r="182" spans="1:26">
      <c r="B182" s="19" t="s">
        <v>6</v>
      </c>
      <c r="Z182" s="16" t="str">
        <f t="shared" si="3"/>
        <v/>
      </c>
    </row>
    <row r="183" spans="1:26">
      <c r="A183" s="118">
        <f>A153+1</f>
        <v>44269</v>
      </c>
      <c r="B183" s="16" t="s">
        <v>6</v>
      </c>
      <c r="Z183" s="16" t="str">
        <f t="shared" si="3"/>
        <v/>
      </c>
    </row>
    <row r="184" spans="1:26">
      <c r="A184" s="66" t="s">
        <v>19</v>
      </c>
      <c r="B184" s="19" t="s">
        <v>6</v>
      </c>
      <c r="C184" s="16" t="str" cm="1">
        <f t="array" aca="1" ref="C184" ca="1">IF(INDIRECT("R"&amp;ROW()&amp;"C"&amp;COLUMN()-1,FALSE)="","",((IF(OR(INDIRECT("R"&amp;ROW()&amp;"C"&amp;COLUMN()+1,FALSE)&lt;&gt;"",INDIRECT("R"&amp;ROW()&amp;"C"&amp;COLUMN()+2,FALSE)&lt;&gt;""),"　",""))))</f>
        <v/>
      </c>
      <c r="Z184" s="16" t="str">
        <f t="shared" si="3"/>
        <v/>
      </c>
    </row>
    <row r="185" spans="1:26">
      <c r="A185" s="18" t="s">
        <v>112</v>
      </c>
      <c r="B185" s="19" t="str">
        <f>IF(Sheet1!J2&lt;&gt;"",Sheet1!J2,"")</f>
        <v>塚原 日</v>
      </c>
      <c r="C185" s="16" t="str" cm="1">
        <f t="array" aca="1" ref="C185" ca="1">IF(INDIRECT("R"&amp;ROW()&amp;"C"&amp;COLUMN()-1,FALSE)="","",((IF(OR(INDIRECT("R"&amp;ROW()&amp;"C"&amp;COLUMN()+1,FALSE)&lt;&gt;"",INDIRECT("R"&amp;ROW()&amp;"C"&amp;COLUMN()+2,FALSE)&lt;&gt;""),"　",""))))</f>
        <v/>
      </c>
      <c r="Z185" s="16" t="str">
        <f t="shared" si="3"/>
        <v/>
      </c>
    </row>
    <row r="186" spans="1:26">
      <c r="A186" s="18" t="str">
        <f>IF(B186&lt;&gt;"","操車研修　","")</f>
        <v/>
      </c>
      <c r="B186" s="19" t="str" cm="1">
        <f t="array" ref="B186">IFERROR( IF( INDEX( Sheet1!$A$15:J22, IFERROR( MATCH( "*操車*", Sheet1!$A$15:$A$22, 0 ), "" ), ((ROW()-6)/30)+4 ) = "", "", IFERROR( INDEX( Sheet1!$A$15:J22, IFERROR( MATCH( "*操車*", Sheet1!$A$15:$A$22, 0 ), "" ), ((ROW()-6)/30)+4 ) &amp; "(14時～20時)", "" ) ), "" )</f>
        <v/>
      </c>
      <c r="C186" s="16" t="str" cm="1">
        <f t="array" aca="1" ref="C186" ca="1">IF(INDIRECT("R"&amp;ROW()&amp;"C"&amp;COLUMN()-1,FALSE)="","",((IF(OR(INDIRECT("R"&amp;ROW()&amp;"C"&amp;COLUMN()+1,FALSE)&lt;&gt;"",INDIRECT("R"&amp;ROW()&amp;"C"&amp;COLUMN()+2,FALSE)&lt;&gt;""),"　",""))))</f>
        <v/>
      </c>
      <c r="D186" s="16" t="str" cm="1">
        <f t="array" aca="1" ref="D186" ca="1">IFERROR(
  IF(
    INDEX(
    INDIRECT( "Sheet1!A" &amp; MATCH( "*操車*", Sheet1!$A$15:$A$22, 0 ) + 15 )
    :Sheet1!J22,
    IFERROR(
      MATCH(
        "*操車*",
        INDIRECT( "Sheet1!A" &amp; MATCH( "*操車*", Sheet1!$A$15:$A$22, 0 ) + 15 )
        :Sheet1!$A$22,
        0
      ),
      ""
    ),
    ( (        ROW(
        ) - 6 ) / 30 ) + 4
    ) = "",
    "",
    IFERROR(
    INDEX(
      INDIRECT( "Sheet1!A" &amp; MATCH( "*操車*", Sheet1!$A$15:$A$22, 0 ) + 15 )
      :Sheet1!J22,
      IFERROR(
        MATCH(
        "*操車*",
        INDIRECT( "Sheet1!A" &amp; MATCH( "*操車*", Sheet1!$A$15:$A$22, 0 ) + 15 )
        :Sheet1!$A$22,
        0
        ),
        ""
      ),
      ( (        ROW(
        ) - 6 ) / 30 ) + 4
    ) &amp; "(14時～20時)",
    ""
    )
  ),
  ""
)</f>
        <v/>
      </c>
      <c r="J186" s="16" t="str">
        <f>IF(A186="","※操車研修","")</f>
        <v>※操車研修</v>
      </c>
      <c r="Z186" s="16" t="str">
        <f t="shared" si="3"/>
        <v/>
      </c>
    </row>
    <row r="187" spans="1:26">
      <c r="A187" s="18" t="s">
        <v>113</v>
      </c>
      <c r="B187" s="19" t="str">
        <f>IF( COUNTIF( Sheet1!J3:J6, "*:*" )=0, Sheet1!J3&amp;"　"&amp;Sheet1!J4, IF( COUNTIF( Sheet1!J3:J6, "*:*" )=1, Sheet1!J3&amp;" "&amp;Sheet1!J4&amp;"(～21時)", IF( COUNTIF( Sheet1!J3:J6, "*:*" )=2, SUBSTITUTE(SUBSTITUTE(Sheet1!J3&amp;CHAR(10)&amp;"(～21:00)",CHAR(10),""),"(～21:00)","")&amp;"(～21時) "&amp;"　"&amp;SUBSTITUTE(SUBSTITUTE(Sheet1!J4&amp;CHAR(10)&amp;"(～21:00)",CHAR(10),""),"(～21:00)","")&amp;"(～21時)" ) ) )</f>
        <v>土田 日　菅井 日</v>
      </c>
      <c r="C187" s="16" t="str" cm="1">
        <f t="array" aca="1" ref="C187" ca="1">IF(INDIRECT("R"&amp;ROW()&amp;"C"&amp;COLUMN()-1,FALSE)="","",((IF(OR(INDIRECT("R"&amp;ROW()&amp;"C"&amp;COLUMN()+1,FALSE)&lt;&gt;"",INDIRECT("R"&amp;ROW()&amp;"C"&amp;COLUMN()+2,FALSE)&lt;&gt;""),"　",""))))</f>
        <v/>
      </c>
      <c r="F187" s="117"/>
      <c r="Z187" s="16" t="str">
        <f t="shared" si="3"/>
        <v/>
      </c>
    </row>
    <row r="188" spans="1:26">
      <c r="A188" s="18" t="s">
        <v>114</v>
      </c>
      <c r="B188" s="19" t="str">
        <f>IF(COUNTIF(Sheet1!J3:J6,"*:*")=0, Sheet1!J5&amp;"　"&amp;Sheet1!J6, IF(COUNTIF(Sheet1!J3:J6,"*:*")=1, Sheet1!J6, IF(COUNTIF(Sheet1!J3:J6,"*:*")=2, "-")))</f>
        <v>三谷 日　黒木 日</v>
      </c>
      <c r="C188" s="16" t="str" cm="1">
        <f t="array" aca="1" ref="C188" ca="1">IF(INDIRECT("R"&amp;ROW()&amp;"C"&amp;COLUMN()-1,FALSE)="","",((IF(OR(INDIRECT("R"&amp;ROW()&amp;"C"&amp;COLUMN()+1,FALSE)&lt;&gt;"",INDIRECT("R"&amp;ROW()&amp;"C"&amp;COLUMN()+2,FALSE)&lt;&gt;""),"　",""))))</f>
        <v/>
      </c>
      <c r="Z188" s="16" t="str">
        <f t="shared" si="3"/>
        <v/>
      </c>
    </row>
    <row r="189" spans="1:26">
      <c r="A189" s="18" t="str">
        <f>IF(B189&lt;&gt;"","折早研修　","")</f>
        <v/>
      </c>
      <c r="B189" s="16" t="str" cm="1">
        <f t="array" ref="B189">IF(AND(COUNTIF(Sheet1!$A$15:$A$22,"*折防早番*")&gt;0,COUNTIF(Sheet1!$A$15:$A$22,"*折早*")&gt;0)=TRUE,"エラー！
Sheet1の見習欄の駅名を統一してください",
IFERROR(IF(INDEX(Sheet1!$A$15:J22,IFERROR(IFERROR(MATCH("*折防早番*",Sheet1!$A$15:$A$22,0),MATCH("*折早*",Sheet1!$A$15:$A$22,0)),""),((ROW()-9)/30)+4)="","",IFERROR(INDEX(Sheet1!$A$15:J22,IFERROR(IFERROR(MATCH("*折防早番*",Sheet1!$A$15:$A$22,0),MATCH("*折早*",Sheet1!$A$15:$A$22,0)),""),((ROW()-9)/30)+4)&amp;"(15時50分～19時)","")),"")
)</f>
        <v/>
      </c>
      <c r="C189" s="16" t="str" cm="1">
        <f t="array" aca="1" ref="C189" ca="1">IF(INDIRECT("R"&amp;ROW()&amp;"C"&amp;COLUMN()-1,FALSE)="","",((IF(OR(INDIRECT("R"&amp;ROW()&amp;"C"&amp;COLUMN()+1,FALSE)&lt;&gt;"",INDIRECT("R"&amp;ROW()&amp;"C"&amp;COLUMN()+2,FALSE)&lt;&gt;""),"　",""))))</f>
        <v/>
      </c>
      <c r="D189" s="16" t="str" cm="1">
        <f t="array" aca="1" ref="D189" ca="1">IF(AND(COUNTIF(Sheet1!$A$15:$A$22,"*折防早番*")&gt;0,COUNTIF(Sheet1!$A$15:$A$22,"*折早*")&gt;0)=TRUE,"エラー！
Sheet1の見習欄の駅名を統一してください",
IFERROR(
  IF(
    INDEX(
    INDIRECT( "Sheet1!A" &amp; MATCH( "*折防早番*", Sheet1!$A$15:$A$22, 0 ) + 15 )
    :Sheet1!J22,
    IFERROR(
      MATCH(
        "*折防早番*",
        INDIRECT( "Sheet1!A" &amp; MATCH( "*折防早番*", Sheet1!$A$15:$A$22, 0 ) + 15 )
        :Sheet1!$A$22,
        0
      ),
      ""
    ),
    ( (        ROW(
        ) - 9 ) / 30 ) + 4
    ) = "",
    "",
    IFERROR(
    INDEX(
      INDIRECT( "Sheet1!A" &amp; MATCH( "*折防早番*", Sheet1!$A$15:$A$22, 0 ) + 15 )
      :Sheet1!J22,
      IFERROR(
        MATCH(
        "*折防早番*",
        INDIRECT( "Sheet1!A" &amp; MATCH( "*折防早番*", Sheet1!$A$15:$A$22, 0 ) + 15 )
        :Sheet1!$A$22,
        0
        ),
        ""
      ),
      ( (        ROW(
        ) - 9 ) / 30 ) + 4
    ) &amp; "(15時50分～19時)",
    ""
    )
  ),
  ""
)
)</f>
        <v/>
      </c>
      <c r="E189" s="16" t="str" cm="1">
        <f t="array" aca="1" ref="E189" ca="1">IF(AND(COUNTIF(Sheet1!$A$15:$A$22,"*折防早番*")&gt;0,COUNTIF(Sheet1!$A$15:$A$22,"*折早*")&gt;0)=TRUE,"",
IFERROR(
  IF(
    INDEX(
    INDIRECT( "Sheet1!A" &amp; MATCH( "*折早*", Sheet1!$A$15:$A$22, 0 ) + 15 )
    :Sheet1!J22,
    IFERROR(
      MATCH(
        "*折早*",
        INDIRECT( "Sheet1!A" &amp; MATCH( "*折早*", Sheet1!$A$15:$A$22, 0 ) + 15 )
        :Sheet1!$A$22,
        0
      ),
      ""
    ),
    ( (        ROW(
        ) - 9 ) / 30 ) + 4
    ) = "",
    "",
    IFERROR(
    INDEX(
      INDIRECT( "Sheet1!A" &amp; MATCH( "*折早*", Sheet1!$A$15:$A$22, 0 ) + 15 )
      :Sheet1!J22,
      IFERROR(
        MATCH(
        "*折早*",
        INDIRECT( "Sheet1!A" &amp; MATCH( "*折早*", Sheet1!$A$15:$A$22, 0 ) + 15 )
        :Sheet1!$A$22,
        0
        ),
        ""
      ),
      ( (        ROW(
        ) - 9 ) / 30 ) + 4
    ) &amp; "(15時50分～19時)",
    ""
    )
  ),
  ""
)
)</f>
        <v/>
      </c>
      <c r="F189" s="67"/>
      <c r="J189" s="16" t="str">
        <f>IF(A189="","※折早研修","")</f>
        <v>※折早研修</v>
      </c>
      <c r="Z189" s="16" t="str">
        <f t="shared" si="3"/>
        <v/>
      </c>
    </row>
    <row r="190" spans="1:26">
      <c r="A190" s="18" t="str">
        <f>IF(B190&lt;&gt;"","折遅研修　","")</f>
        <v/>
      </c>
      <c r="B190" s="16" t="str" cm="1">
        <f t="array" ref="B190">IF(AND(COUNTIF(Sheet1!$A$15:$A$22,"*折防遅番*")&gt;0,COUNTIF(Sheet1!$A$15:$A$22,"*折遅*")&gt;0)=TRUE,"エラー！Sheet1の見習欄の駅名を統一してください",
IFERROR(IF(INDEX(Sheet1!$A$15:J22,IFERROR(IFERROR(MATCH("*折防遅番*",Sheet1!$A$15:$A$22,0),MATCH("*折遅*",Sheet1!$A$15:$A$22,0)),""),((ROW()-10)/30)+4)="","",IFERROR(INDEX(Sheet1!$A$15:J22,IFERROR(IFERROR(MATCH("*折防遅番*",Sheet1!$A$15:$A$22,0),MATCH("*折遅*",Sheet1!$A$15:$A$22,0)),""),((ROW()-10)/30)+4)&amp;"(17時～21時)","")),"")
)</f>
        <v/>
      </c>
      <c r="C190" s="16" t="str" cm="1">
        <f t="array" aca="1" ref="C190" ca="1">IF(INDIRECT("R"&amp;ROW()&amp;"C"&amp;COLUMN()-1,FALSE)="","",((IF(OR(INDIRECT("R"&amp;ROW()&amp;"C"&amp;COLUMN()+1,FALSE)&lt;&gt;"",INDIRECT("R"&amp;ROW()&amp;"C"&amp;COLUMN()+2,FALSE)&lt;&gt;""),"　",""))))</f>
        <v/>
      </c>
      <c r="D190" s="16" t="str" cm="1">
        <f t="array" aca="1" ref="D190" ca="1">IF(AND(COUNTIF(Sheet1!$A$15:$A$22,"*折防遅番*")&gt;0,COUNTIF(Sheet1!$A$15:$A$22,"*折遅*")&gt;0)=TRUE,"エラー！
Sheet1の見習欄の駅名を統一してください",
IFERROR(
  IF(
    INDEX(
    INDIRECT( "Sheet1!A" &amp; MATCH( "*折防遅番*", Sheet1!$A$15:$A$22, 0 ) + 15 )
    :Sheet1!J22,
    IFERROR(
      MATCH(
        "*折防遅番*",
        INDIRECT( "Sheet1!A" &amp; MATCH( "*折防遅番*", Sheet1!$A$15:$A$22, 0 ) + 15 )
        :Sheet1!$A$22,
        0
      ),
      ""
    ),
    ( (        ROW(
        ) - 10 ) / 30 ) + 4
    ) = "",
    "",
    IFERROR(
    INDEX(
      INDIRECT( "Sheet1!A" &amp; MATCH( "*折防遅番*", Sheet1!$A$15:$A$22, 0 ) + 15 )
      :Sheet1!J22,
      IFERROR(
        MATCH(
        "*折防遅番*",
        INDIRECT( "Sheet1!A" &amp; MATCH( "*折防遅番*", Sheet1!$A$15:$A$22, 0 ) + 15 )
        :Sheet1!$A$22,
        0
        ),
        ""
      ),
      ( (        ROW(
        ) - 10 ) / 30 ) + 4
    ) &amp; "(17時～21時)",
    ""
    )
  ),
  ""
)
)</f>
        <v/>
      </c>
      <c r="E190" s="16" t="str" cm="1">
        <f t="array" aca="1" ref="E190" ca="1">IF(AND(COUNTIF(Sheet1!$A$15:$A$22,"*折防遅番*")&gt;0,COUNTIF(Sheet1!$A$15:$A$22,"*折遅*")&gt;0)=TRUE,"",
IFERROR(
  IF(
    INDEX(
    INDIRECT( "Sheet1!A" &amp; MATCH( "*折遅*", Sheet1!$A$15:$A$22, 0 ) + 15 )
    :Sheet1!J22,
    IFERROR(
      MATCH(
        "*折遅*",
        INDIRECT( "Sheet1!A" &amp; MATCH( "*折遅*", Sheet1!$A$15:$A$22, 0 ) + 15 )
        :Sheet1!$A$22,
        0
      ),
      ""
    ),
    ( (        ROW(
        ) - 10 ) / 30 ) + 4
    ) = "",
    "",
    IFERROR(
    INDEX(
      INDIRECT( "Sheet1!A" &amp; MATCH( "*折遅*", Sheet1!$A$15:$A$22, 0 ) + 15 )
      :Sheet1!J22,
      IFERROR(
        MATCH(
        "*折遅*",
        INDIRECT( "Sheet1!A" &amp; MATCH( "*折遅*", Sheet1!$A$15:$A$22, 0 ) + 15 )
        :Sheet1!$A$22,
        0
        ),
        ""
      ),
      ( (        ROW(
        ) - 10 ) / 30 ) + 4
    ) &amp; "(17～21時)",
    ""
    )
  ),
  ""
)
)</f>
        <v/>
      </c>
      <c r="F190" s="67"/>
      <c r="J190" s="16" t="str">
        <f>IF(A190="","※折遅研修","")</f>
        <v>※折遅研修</v>
      </c>
      <c r="Z190" s="16" t="str">
        <f t="shared" si="3"/>
        <v/>
      </c>
    </row>
    <row r="191" spans="1:26">
      <c r="A191" s="18" t="str">
        <f>IF(B191&lt;&gt;"","折防ロング研修","")</f>
        <v/>
      </c>
      <c r="B191" s="16" t="str" cm="1">
        <f t="array" ref="B191">IF(AND(COUNTIF(Sheet1!$A$15:$A$22,"*折防ロング*")&gt;0,COUNTIF(Sheet1!$A$15:$A$22,"*折ロング*")&gt;0)=TRUE,"エラー！
Sheet1の見習欄の駅名を統一してください",
IFERROR(IF(INDEX(Sheet1!$A$15:J22,IFERROR(IFERROR(MATCH("*折防ロング*",Sheet1!$A$15:$A$22,0),MATCH("*折ロング*",Sheet1!$A$15:$A$22,0)),""),((ROW()-11)/30)+4)="","",IFERROR(INDEX(Sheet1!$A$15:J22,IFERROR(IFERROR(MATCH("*折防ロング*",Sheet1!$A$15:$A$22,0),MATCH("*折ロング*",Sheet1!$A$15:$A$22,0)),""),((ROW()-11)/30)+4)&amp;"(15時50分～21時)","")),"")
)</f>
        <v/>
      </c>
      <c r="C191" s="16" t="str" cm="1">
        <f t="array" aca="1" ref="C191" ca="1">IF(INDIRECT("R"&amp;ROW()&amp;"C"&amp;COLUMN()-1,FALSE)="","",((IF(OR(INDIRECT("R"&amp;ROW()&amp;"C"&amp;COLUMN()+1,FALSE)&lt;&gt;"",INDIRECT("R"&amp;ROW()&amp;"C"&amp;COLUMN()+2,FALSE)&lt;&gt;""),"　",""))))</f>
        <v/>
      </c>
      <c r="D191" s="16" t="str" cm="1">
        <f t="array" aca="1" ref="D191" ca="1">IFERROR(
  IF(
    INDEX(
    INDIRECT( "Sheet1!A" &amp; MATCH( "*折防ロング*", Sheet1!$A$15:$A$22, 0 ) + 15 )
    :Sheet1!J22,
    IFERROR(
      MATCH(
        "*折防ロング*",
        INDIRECT( "Sheet1!A" &amp; MATCH( "*折防ロング*", Sheet1!$A$15:$A$22, 0 ) + 15 )
        :Sheet1!$A$22,
        0
      ),
      ""
    ),
    ( (        ROW(
        ) - 11 ) / 30 ) + 4
    ) = "",
    "",
    IFERROR(
    INDEX(
      INDIRECT( "Sheet1!A" &amp; MATCH( "*折防ロング*", Sheet1!$A$15:$A$22, 0 ) + 15 )
      :Sheet1!J22,
      IFERROR(
        MATCH(
        "*折防ロング*",
        INDIRECT( "Sheet1!A" &amp; MATCH( "*折防ロング*", Sheet1!$A$15:$A$22, 0 ) + 15 )
        :Sheet1!$A$22,
        0
        ),
        ""
      ),
      ( (        ROW(
        ) - 11 ) / 30 ) + 4
    ) &amp; "(15時50分～21時)",
    ""
    )
  ),
  ""
)</f>
        <v/>
      </c>
      <c r="F191" s="67"/>
      <c r="J191" s="16" t="str">
        <f>IF(A191="","※折防ロング研修","")</f>
        <v>※折防ロング研修</v>
      </c>
      <c r="Z191" s="16" t="str">
        <f t="shared" si="3"/>
        <v/>
      </c>
    </row>
    <row r="192" spans="1:26">
      <c r="A192" s="18"/>
      <c r="B192" s="16" t="s">
        <v>6</v>
      </c>
      <c r="C192" s="16" t="str" cm="1">
        <f t="array" aca="1" ref="C192" ca="1">IF(INDIRECT("R"&amp;ROW()&amp;"C"&amp;COLUMN()-1,FALSE)="","",((IF(OR(INDIRECT("R"&amp;ROW()&amp;"C"&amp;COLUMN()+1,FALSE)&lt;&gt;"",INDIRECT("R"&amp;ROW()&amp;"C"&amp;COLUMN()+2,FALSE)&lt;&gt;""),"　",""))))</f>
        <v/>
      </c>
      <c r="F192" s="67"/>
      <c r="Z192" s="16" t="str">
        <f t="shared" si="3"/>
        <v/>
      </c>
    </row>
    <row r="193" spans="1:26">
      <c r="A193" s="2" t="s">
        <v>213</v>
      </c>
      <c r="B193" s="16" t="str">
        <f>IF(COUNTIF(データ処理部!$J$15:J$38,"")=0,"",
IFERROR(INDEX(db!$Q$4:$R$27,MATCH(SMALL(db!$Q$4:$R$27,COLUMN()-1),db!$R$4:$R$27,0),1)&amp;"　",""))</f>
        <v/>
      </c>
      <c r="C193" s="16" t="str">
        <f>IF(COUNTIF(データ処理部!$J$15:K$38,"")=0,"",
IFERROR(INDEX(db!$Q$4:$R$27,MATCH(SMALL(db!$Q$4:$R$27,COLUMN()-1),db!$R$4:$R$27,0),1)&amp;"　",""))</f>
        <v/>
      </c>
      <c r="D193" s="16" t="str">
        <f>IF(COUNTIF(データ処理部!$J$15:L$38,"")=0,"",
IFERROR(INDEX(db!$Q$4:$R$27,MATCH(SMALL(db!$Q$4:$R$27,COLUMN()-1),db!$R$4:$R$27,0),1)&amp;"　",""))</f>
        <v/>
      </c>
      <c r="E193" s="16" t="str">
        <f>IF(COUNTIF(データ処理部!$J$15:M$38,"")=0,"",
IFERROR(INDEX(db!$Q$4:$R$27,MATCH(SMALL(db!$Q$4:$R$27,COLUMN()-1),db!$R$4:$R$27,0),1)&amp;"　",""))</f>
        <v/>
      </c>
      <c r="F193" s="16" t="str">
        <f>IF(COUNTIF(データ処理部!$J$15:N$38,"")=0,"",
IFERROR(INDEX(db!$Q$4:$R$27,MATCH(SMALL(db!$Q$4:$R$27,COLUMN()-1),db!$R$4:$R$27,0),1)&amp;"　",""))</f>
        <v/>
      </c>
      <c r="G193" s="16" t="str">
        <f>IF(COUNTIF(データ処理部!$J$15:O$38,"")=0,"",
IFERROR(INDEX(db!$Q$4:$R$27,MATCH(SMALL(db!$Q$4:$R$27,COLUMN()-1),db!$R$4:$R$27,0),1)&amp;"　",""))</f>
        <v/>
      </c>
      <c r="H193" s="16" t="str">
        <f>IF(COUNTIF(データ処理部!$J$15:P$38,"")=0,"",
IFERROR(INDEX(db!$Q$4:$R$27,MATCH(SMALL(db!$Q$4:$R$27,COLUMN()-1),db!$R$4:$R$27,0),1)&amp;"　",""))</f>
        <v/>
      </c>
      <c r="I193" s="16" t="str">
        <f>IF(COUNTIF(データ処理部!$J$15:Q$38,"")=0,"",
IFERROR(INDEX(db!$Q$4:$R$27,MATCH(SMALL(db!$Q$4:$R$27,COLUMN()-1),db!$R$4:$R$27,0),1)&amp;"　",""))</f>
        <v/>
      </c>
      <c r="J193" s="16" t="str">
        <f>IF(COUNTIF(データ処理部!$J$15:R$38,"")=0,"",
IFERROR(INDEX(db!$Q$4:$R$27,MATCH(SMALL(db!$Q$4:$R$27,COLUMN()-1),db!$R$4:$R$27,0),1)&amp;"　",""))</f>
        <v/>
      </c>
      <c r="K193" s="16" t="str">
        <f>IF(COUNTIF(データ処理部!$J$15:S$38,"")=0,"",
IFERROR(INDEX(db!$Q$4:$R$27,MATCH(SMALL(db!$Q$4:$R$27,COLUMN()-1),db!$R$4:$R$27,0),1)&amp;"　",""))</f>
        <v/>
      </c>
      <c r="L193" s="16" t="str">
        <f>IF(COUNTIF(データ処理部!$J$15:T$38,"")=0,"",
IFERROR(INDEX(db!$Q$4:$R$27,MATCH(SMALL(db!$Q$4:$R$27,COLUMN()-1),db!$R$4:$R$27,0),1)&amp;"　",""))</f>
        <v/>
      </c>
      <c r="M193" s="16" t="str">
        <f>IF(COUNTIF(データ処理部!$J$15:U$38,"")=0,"",
IFERROR(INDEX(db!$Q$4:$R$27,MATCH(SMALL(db!$Q$4:$R$27,COLUMN()-1),db!$R$4:$R$27,0),1)&amp;"　",""))</f>
        <v/>
      </c>
      <c r="N193" s="16" t="str">
        <f>IF(COUNTIF(データ処理部!$J$15:V$38,"")=0,"",
IFERROR(INDEX(db!$Q$4:$R$27,MATCH(SMALL(db!$Q$4:$R$27,COLUMN()-1),db!$R$4:$R$27,0),1)&amp;"　",""))</f>
        <v/>
      </c>
      <c r="O193" s="16" t="str">
        <f>IF(COUNTIF(データ処理部!$J$15:W$38,"")=0,"",
IFERROR(INDEX(db!$Q$4:$R$27,MATCH(SMALL(db!$Q$4:$R$27,COLUMN()-1),db!$R$4:$R$27,0),1)&amp;"　",""))</f>
        <v/>
      </c>
      <c r="P193" s="16" t="str">
        <f>IF(COUNTIF(データ処理部!$J$15:X$38,"")=0,"",
IFERROR(INDEX(db!$Q$4:$R$27,MATCH(SMALL(db!$Q$4:$R$27,COLUMN()-1),db!$R$4:$R$27,0),1)&amp;"　",""))</f>
        <v/>
      </c>
      <c r="Q193" s="16" t="str">
        <f>IF(COUNTIF(データ処理部!$J$15:Y$38,"")=0,"",
IFERROR(INDEX(db!$Q$4:$R$27,MATCH(SMALL(db!$Q$4:$R$27,COLUMN()-1),db!$R$4:$R$27,0),1)&amp;"　",""))</f>
        <v/>
      </c>
      <c r="R193" s="16" t="str">
        <f>IF(COUNTIF(データ処理部!$J$15:Z$38,"")=0,"",
IFERROR(INDEX(db!$Q$4:$R$27,MATCH(SMALL(db!$Q$4:$R$27,COLUMN()-1),db!$R$4:$R$27,0),1)&amp;"　",""))</f>
        <v/>
      </c>
      <c r="S193" s="16" t="str">
        <f>IF(COUNTIF(データ処理部!$J$15:AA$38,"")=0,"",
IFERROR(INDEX(db!$Q$4:$R$27,MATCH(SMALL(db!$Q$4:$R$27,COLUMN()-1),db!$R$4:$R$27,0),1)&amp;"　",""))</f>
        <v/>
      </c>
      <c r="T193" s="16" t="str">
        <f>IF(COUNTIF(データ処理部!$J$15:AB$38,"")=0,"",
IFERROR(INDEX(db!$Q$4:$R$27,MATCH(SMALL(db!$Q$4:$R$27,COLUMN()-1),db!$R$4:$R$27,0),1)&amp;"　",""))</f>
        <v/>
      </c>
      <c r="U193" s="16" t="str">
        <f>IF(COUNTIF(データ処理部!$J$15:AC$38,"")=0,"",
IFERROR(INDEX(db!$Q$4:$R$27,MATCH(SMALL(db!$Q$4:$R$27,COLUMN()-1),db!$R$4:$R$27,0),1)&amp;"　",""))</f>
        <v/>
      </c>
      <c r="V193" s="16" t="str">
        <f>IF(COUNTIF(データ処理部!$J$15:AD$38,"")=0,"",
IFERROR(INDEX(db!$Q$4:$R$27,MATCH(SMALL(db!$Q$4:$R$27,COLUMN()-1),db!$R$4:$R$27,0),1)&amp;"　",""))</f>
        <v/>
      </c>
      <c r="W193" s="16" t="str">
        <f>IF(COUNTIF(データ処理部!$J$15:AE$38,"")=0,"",
IFERROR(INDEX(db!$Q$4:$R$27,MATCH(SMALL(db!$Q$4:$R$27,COLUMN()-1),db!$R$4:$R$27,0),1)&amp;"　",""))</f>
        <v/>
      </c>
      <c r="X193" s="16" t="str">
        <f>IF(COUNTIF(データ処理部!$J$15:AF$38,"")=0,"",
IFERROR(INDEX(db!$Q$4:$R$27,MATCH(SMALL(db!$Q$4:$R$27,COLUMN()-1),db!$R$4:$R$27,0),1)&amp;"　",""))</f>
        <v/>
      </c>
      <c r="Y193" s="16" t="str">
        <f>IF(COUNTIF(データ処理部!$J$15:AG$38,"")=0,"",
IFERROR(INDEX(db!$Q$4:$R$27,MATCH(SMALL(db!$Q$4:$R$27,COLUMN()-1),db!$R$4:$R$27,0),1)&amp;"　",""))</f>
        <v/>
      </c>
      <c r="Z193" s="16" t="str">
        <f t="shared" si="3"/>
        <v/>
      </c>
    </row>
    <row r="194" spans="1:26">
      <c r="B194" s="19" t="s">
        <v>6</v>
      </c>
      <c r="Z194" s="16" t="str">
        <f t="shared" ref="Z194:Z257" si="4">IF(A194="★年休","←ここまで","")</f>
        <v/>
      </c>
    </row>
    <row r="195" spans="1:26">
      <c r="A195" s="16" t="s">
        <v>207</v>
      </c>
      <c r="B195" s="135">
        <f ca="1">TODAY()-WEEKDAY(TODAY(),2)+1+14+7</f>
        <v>44704</v>
      </c>
      <c r="C195" s="16" t="s">
        <v>208</v>
      </c>
      <c r="D195" s="135">
        <f ca="1">TODAY()-WEEKDAY(TODAY(),2)+1+14+7+6</f>
        <v>44710</v>
      </c>
      <c r="E195" s="16" t="s">
        <v>209</v>
      </c>
      <c r="F195" s="135">
        <f ca="1">TODAY()-WEEKDAY(TODAY(),2)+1+14-2</f>
        <v>44695</v>
      </c>
      <c r="G195" s="16" t="s">
        <v>229</v>
      </c>
      <c r="Z195" s="16" t="str">
        <f t="shared" si="4"/>
        <v/>
      </c>
    </row>
    <row r="196" spans="1:26">
      <c r="B196" s="16" t="s">
        <v>210</v>
      </c>
      <c r="Z196" s="16" t="str">
        <f t="shared" si="4"/>
        <v/>
      </c>
    </row>
    <row r="197" spans="1:26">
      <c r="A197" s="16" t="s">
        <v>226</v>
      </c>
      <c r="Z197" s="16" t="str">
        <f t="shared" si="4"/>
        <v/>
      </c>
    </row>
    <row r="198" spans="1:26">
      <c r="Z198" s="16" t="str">
        <f t="shared" si="4"/>
        <v/>
      </c>
    </row>
    <row r="199" spans="1:26">
      <c r="Z199" s="16" t="str">
        <f t="shared" si="4"/>
        <v/>
      </c>
    </row>
    <row r="200" spans="1:26">
      <c r="Z200" s="16" t="str">
        <f t="shared" si="4"/>
        <v/>
      </c>
    </row>
    <row r="201" spans="1:26">
      <c r="Z201" s="16" t="str">
        <f t="shared" si="4"/>
        <v/>
      </c>
    </row>
    <row r="202" spans="1:26">
      <c r="Z202" s="16" t="str">
        <f t="shared" si="4"/>
        <v/>
      </c>
    </row>
    <row r="203" spans="1:26">
      <c r="Z203" s="16" t="str">
        <f t="shared" si="4"/>
        <v/>
      </c>
    </row>
    <row r="204" spans="1:26">
      <c r="Z204" s="16" t="str">
        <f t="shared" si="4"/>
        <v/>
      </c>
    </row>
    <row r="205" spans="1:26">
      <c r="Z205" s="16" t="str">
        <f t="shared" si="4"/>
        <v/>
      </c>
    </row>
    <row r="206" spans="1:26">
      <c r="Z206" s="16" t="str">
        <f t="shared" si="4"/>
        <v/>
      </c>
    </row>
    <row r="207" spans="1:26">
      <c r="Z207" s="16" t="str">
        <f t="shared" si="4"/>
        <v/>
      </c>
    </row>
    <row r="208" spans="1:26">
      <c r="Z208" s="16" t="str">
        <f t="shared" si="4"/>
        <v/>
      </c>
    </row>
    <row r="209" spans="26:26">
      <c r="Z209" s="16" t="str">
        <f t="shared" si="4"/>
        <v/>
      </c>
    </row>
    <row r="210" spans="26:26">
      <c r="Z210" s="16" t="str">
        <f t="shared" si="4"/>
        <v/>
      </c>
    </row>
    <row r="211" spans="26:26">
      <c r="Z211" s="16" t="str">
        <f t="shared" si="4"/>
        <v/>
      </c>
    </row>
    <row r="212" spans="26:26">
      <c r="Z212" s="16" t="str">
        <f t="shared" si="4"/>
        <v/>
      </c>
    </row>
    <row r="213" spans="26:26">
      <c r="Z213" s="16" t="str">
        <f t="shared" si="4"/>
        <v/>
      </c>
    </row>
    <row r="214" spans="26:26">
      <c r="Z214" s="16" t="str">
        <f t="shared" si="4"/>
        <v/>
      </c>
    </row>
    <row r="215" spans="26:26">
      <c r="Z215" s="16" t="str">
        <f t="shared" si="4"/>
        <v/>
      </c>
    </row>
    <row r="216" spans="26:26">
      <c r="Z216" s="16" t="str">
        <f t="shared" si="4"/>
        <v/>
      </c>
    </row>
    <row r="217" spans="26:26">
      <c r="Z217" s="16" t="str">
        <f t="shared" si="4"/>
        <v/>
      </c>
    </row>
    <row r="218" spans="26:26">
      <c r="Z218" s="16" t="str">
        <f t="shared" si="4"/>
        <v/>
      </c>
    </row>
    <row r="219" spans="26:26">
      <c r="Z219" s="16" t="str">
        <f t="shared" si="4"/>
        <v/>
      </c>
    </row>
    <row r="220" spans="26:26">
      <c r="Z220" s="16" t="str">
        <f t="shared" si="4"/>
        <v/>
      </c>
    </row>
    <row r="221" spans="26:26">
      <c r="Z221" s="16" t="str">
        <f t="shared" si="4"/>
        <v/>
      </c>
    </row>
    <row r="222" spans="26:26">
      <c r="Z222" s="16" t="str">
        <f t="shared" si="4"/>
        <v/>
      </c>
    </row>
    <row r="223" spans="26:26">
      <c r="Z223" s="16" t="str">
        <f t="shared" si="4"/>
        <v/>
      </c>
    </row>
    <row r="224" spans="26:26">
      <c r="Z224" s="16" t="str">
        <f t="shared" si="4"/>
        <v/>
      </c>
    </row>
    <row r="225" spans="26:26">
      <c r="Z225" s="16" t="str">
        <f t="shared" si="4"/>
        <v/>
      </c>
    </row>
    <row r="226" spans="26:26">
      <c r="Z226" s="16" t="str">
        <f t="shared" si="4"/>
        <v/>
      </c>
    </row>
    <row r="227" spans="26:26">
      <c r="Z227" s="16" t="str">
        <f t="shared" si="4"/>
        <v/>
      </c>
    </row>
    <row r="228" spans="26:26">
      <c r="Z228" s="16" t="str">
        <f t="shared" si="4"/>
        <v/>
      </c>
    </row>
    <row r="229" spans="26:26">
      <c r="Z229" s="16" t="str">
        <f t="shared" si="4"/>
        <v/>
      </c>
    </row>
    <row r="230" spans="26:26">
      <c r="Z230" s="16" t="str">
        <f t="shared" si="4"/>
        <v/>
      </c>
    </row>
    <row r="231" spans="26:26">
      <c r="Z231" s="16" t="str">
        <f t="shared" si="4"/>
        <v/>
      </c>
    </row>
    <row r="232" spans="26:26">
      <c r="Z232" s="16" t="str">
        <f t="shared" si="4"/>
        <v/>
      </c>
    </row>
    <row r="233" spans="26:26">
      <c r="Z233" s="16" t="str">
        <f t="shared" si="4"/>
        <v/>
      </c>
    </row>
    <row r="234" spans="26:26">
      <c r="Z234" s="16" t="str">
        <f t="shared" si="4"/>
        <v/>
      </c>
    </row>
    <row r="235" spans="26:26">
      <c r="Z235" s="16" t="str">
        <f t="shared" si="4"/>
        <v/>
      </c>
    </row>
    <row r="236" spans="26:26">
      <c r="Z236" s="16" t="str">
        <f t="shared" si="4"/>
        <v/>
      </c>
    </row>
    <row r="237" spans="26:26">
      <c r="Z237" s="16" t="str">
        <f t="shared" si="4"/>
        <v/>
      </c>
    </row>
    <row r="238" spans="26:26">
      <c r="Z238" s="16" t="str">
        <f t="shared" si="4"/>
        <v/>
      </c>
    </row>
    <row r="239" spans="26:26">
      <c r="Z239" s="16" t="str">
        <f t="shared" si="4"/>
        <v/>
      </c>
    </row>
    <row r="240" spans="26:26">
      <c r="Z240" s="16" t="str">
        <f t="shared" si="4"/>
        <v/>
      </c>
    </row>
    <row r="241" spans="26:26">
      <c r="Z241" s="16" t="str">
        <f t="shared" si="4"/>
        <v/>
      </c>
    </row>
    <row r="242" spans="26:26">
      <c r="Z242" s="16" t="str">
        <f t="shared" si="4"/>
        <v/>
      </c>
    </row>
    <row r="243" spans="26:26">
      <c r="Z243" s="16" t="str">
        <f t="shared" si="4"/>
        <v/>
      </c>
    </row>
    <row r="244" spans="26:26">
      <c r="Z244" s="16" t="str">
        <f t="shared" si="4"/>
        <v/>
      </c>
    </row>
    <row r="245" spans="26:26">
      <c r="Z245" s="16" t="str">
        <f t="shared" si="4"/>
        <v/>
      </c>
    </row>
    <row r="246" spans="26:26">
      <c r="Z246" s="16" t="str">
        <f t="shared" si="4"/>
        <v/>
      </c>
    </row>
    <row r="247" spans="26:26">
      <c r="Z247" s="16" t="str">
        <f t="shared" si="4"/>
        <v/>
      </c>
    </row>
    <row r="248" spans="26:26">
      <c r="Z248" s="16" t="str">
        <f t="shared" si="4"/>
        <v/>
      </c>
    </row>
    <row r="249" spans="26:26">
      <c r="Z249" s="16" t="str">
        <f t="shared" si="4"/>
        <v/>
      </c>
    </row>
    <row r="250" spans="26:26">
      <c r="Z250" s="16" t="str">
        <f t="shared" si="4"/>
        <v/>
      </c>
    </row>
    <row r="251" spans="26:26">
      <c r="Z251" s="16" t="str">
        <f t="shared" si="4"/>
        <v/>
      </c>
    </row>
    <row r="252" spans="26:26">
      <c r="Z252" s="16" t="str">
        <f t="shared" si="4"/>
        <v/>
      </c>
    </row>
    <row r="253" spans="26:26">
      <c r="Z253" s="16" t="str">
        <f t="shared" si="4"/>
        <v/>
      </c>
    </row>
    <row r="254" spans="26:26">
      <c r="Z254" s="16" t="str">
        <f t="shared" si="4"/>
        <v/>
      </c>
    </row>
    <row r="255" spans="26:26">
      <c r="Z255" s="16" t="str">
        <f t="shared" si="4"/>
        <v/>
      </c>
    </row>
    <row r="256" spans="26:26">
      <c r="Z256" s="16" t="str">
        <f t="shared" si="4"/>
        <v/>
      </c>
    </row>
    <row r="257" spans="26:26">
      <c r="Z257" s="16" t="str">
        <f t="shared" si="4"/>
        <v/>
      </c>
    </row>
    <row r="258" spans="26:26">
      <c r="Z258" s="16" t="str">
        <f t="shared" ref="Z258:Z321" si="5">IF(A258="★年休","←ここまで","")</f>
        <v/>
      </c>
    </row>
    <row r="259" spans="26:26">
      <c r="Z259" s="16" t="str">
        <f t="shared" si="5"/>
        <v/>
      </c>
    </row>
    <row r="260" spans="26:26">
      <c r="Z260" s="16" t="str">
        <f t="shared" si="5"/>
        <v/>
      </c>
    </row>
    <row r="261" spans="26:26">
      <c r="Z261" s="16" t="str">
        <f t="shared" si="5"/>
        <v/>
      </c>
    </row>
    <row r="262" spans="26:26">
      <c r="Z262" s="16" t="str">
        <f t="shared" si="5"/>
        <v/>
      </c>
    </row>
    <row r="263" spans="26:26">
      <c r="Z263" s="16" t="str">
        <f t="shared" si="5"/>
        <v/>
      </c>
    </row>
    <row r="264" spans="26:26">
      <c r="Z264" s="16" t="str">
        <f t="shared" si="5"/>
        <v/>
      </c>
    </row>
    <row r="265" spans="26:26">
      <c r="Z265" s="16" t="str">
        <f t="shared" si="5"/>
        <v/>
      </c>
    </row>
    <row r="266" spans="26:26">
      <c r="Z266" s="16" t="str">
        <f t="shared" si="5"/>
        <v/>
      </c>
    </row>
    <row r="267" spans="26:26">
      <c r="Z267" s="16" t="str">
        <f t="shared" si="5"/>
        <v/>
      </c>
    </row>
    <row r="268" spans="26:26">
      <c r="Z268" s="16" t="str">
        <f t="shared" si="5"/>
        <v/>
      </c>
    </row>
    <row r="269" spans="26:26">
      <c r="Z269" s="16" t="str">
        <f t="shared" si="5"/>
        <v/>
      </c>
    </row>
    <row r="270" spans="26:26">
      <c r="Z270" s="16" t="str">
        <f t="shared" si="5"/>
        <v/>
      </c>
    </row>
    <row r="271" spans="26:26">
      <c r="Z271" s="16" t="str">
        <f t="shared" si="5"/>
        <v/>
      </c>
    </row>
    <row r="272" spans="26:26">
      <c r="Z272" s="16" t="str">
        <f t="shared" si="5"/>
        <v/>
      </c>
    </row>
    <row r="273" spans="26:26">
      <c r="Z273" s="16" t="str">
        <f t="shared" si="5"/>
        <v/>
      </c>
    </row>
    <row r="274" spans="26:26">
      <c r="Z274" s="16" t="str">
        <f t="shared" si="5"/>
        <v/>
      </c>
    </row>
    <row r="275" spans="26:26">
      <c r="Z275" s="16" t="str">
        <f t="shared" si="5"/>
        <v/>
      </c>
    </row>
    <row r="276" spans="26:26">
      <c r="Z276" s="16" t="str">
        <f t="shared" si="5"/>
        <v/>
      </c>
    </row>
    <row r="277" spans="26:26">
      <c r="Z277" s="16" t="str">
        <f t="shared" si="5"/>
        <v/>
      </c>
    </row>
    <row r="278" spans="26:26">
      <c r="Z278" s="16" t="str">
        <f t="shared" si="5"/>
        <v/>
      </c>
    </row>
    <row r="279" spans="26:26">
      <c r="Z279" s="16" t="str">
        <f t="shared" si="5"/>
        <v/>
      </c>
    </row>
    <row r="280" spans="26:26">
      <c r="Z280" s="16" t="str">
        <f t="shared" si="5"/>
        <v/>
      </c>
    </row>
    <row r="281" spans="26:26">
      <c r="Z281" s="16" t="str">
        <f t="shared" si="5"/>
        <v/>
      </c>
    </row>
    <row r="282" spans="26:26">
      <c r="Z282" s="16" t="str">
        <f t="shared" si="5"/>
        <v/>
      </c>
    </row>
    <row r="283" spans="26:26">
      <c r="Z283" s="16" t="str">
        <f t="shared" si="5"/>
        <v/>
      </c>
    </row>
    <row r="284" spans="26:26">
      <c r="Z284" s="16" t="str">
        <f t="shared" si="5"/>
        <v/>
      </c>
    </row>
    <row r="285" spans="26:26">
      <c r="Z285" s="16" t="str">
        <f t="shared" si="5"/>
        <v/>
      </c>
    </row>
    <row r="286" spans="26:26">
      <c r="Z286" s="16" t="str">
        <f t="shared" si="5"/>
        <v/>
      </c>
    </row>
    <row r="287" spans="26:26">
      <c r="Z287" s="16" t="str">
        <f t="shared" si="5"/>
        <v/>
      </c>
    </row>
    <row r="288" spans="26:26">
      <c r="Z288" s="16" t="str">
        <f t="shared" si="5"/>
        <v/>
      </c>
    </row>
    <row r="289" spans="26:26">
      <c r="Z289" s="16" t="str">
        <f t="shared" si="5"/>
        <v/>
      </c>
    </row>
    <row r="290" spans="26:26">
      <c r="Z290" s="16" t="str">
        <f t="shared" si="5"/>
        <v/>
      </c>
    </row>
    <row r="291" spans="26:26">
      <c r="Z291" s="16" t="str">
        <f t="shared" si="5"/>
        <v/>
      </c>
    </row>
    <row r="292" spans="26:26">
      <c r="Z292" s="16" t="str">
        <f t="shared" si="5"/>
        <v/>
      </c>
    </row>
    <row r="293" spans="26:26">
      <c r="Z293" s="16" t="str">
        <f t="shared" si="5"/>
        <v/>
      </c>
    </row>
    <row r="294" spans="26:26">
      <c r="Z294" s="16" t="str">
        <f t="shared" si="5"/>
        <v/>
      </c>
    </row>
    <row r="295" spans="26:26">
      <c r="Z295" s="16" t="str">
        <f t="shared" si="5"/>
        <v/>
      </c>
    </row>
    <row r="296" spans="26:26">
      <c r="Z296" s="16" t="str">
        <f t="shared" si="5"/>
        <v/>
      </c>
    </row>
    <row r="297" spans="26:26">
      <c r="Z297" s="16" t="str">
        <f t="shared" si="5"/>
        <v/>
      </c>
    </row>
    <row r="298" spans="26:26">
      <c r="Z298" s="16" t="str">
        <f t="shared" si="5"/>
        <v/>
      </c>
    </row>
    <row r="299" spans="26:26">
      <c r="Z299" s="16" t="str">
        <f t="shared" si="5"/>
        <v/>
      </c>
    </row>
    <row r="300" spans="26:26">
      <c r="Z300" s="16" t="str">
        <f t="shared" si="5"/>
        <v/>
      </c>
    </row>
    <row r="301" spans="26:26">
      <c r="Z301" s="16" t="str">
        <f t="shared" si="5"/>
        <v/>
      </c>
    </row>
    <row r="302" spans="26:26">
      <c r="Z302" s="16" t="str">
        <f t="shared" si="5"/>
        <v/>
      </c>
    </row>
    <row r="303" spans="26:26">
      <c r="Z303" s="16" t="str">
        <f t="shared" si="5"/>
        <v/>
      </c>
    </row>
    <row r="304" spans="26:26">
      <c r="Z304" s="16" t="str">
        <f t="shared" si="5"/>
        <v/>
      </c>
    </row>
    <row r="305" spans="26:26">
      <c r="Z305" s="16" t="str">
        <f t="shared" si="5"/>
        <v/>
      </c>
    </row>
    <row r="306" spans="26:26">
      <c r="Z306" s="16" t="str">
        <f t="shared" si="5"/>
        <v/>
      </c>
    </row>
    <row r="307" spans="26:26">
      <c r="Z307" s="16" t="str">
        <f t="shared" si="5"/>
        <v/>
      </c>
    </row>
    <row r="308" spans="26:26">
      <c r="Z308" s="16" t="str">
        <f t="shared" si="5"/>
        <v/>
      </c>
    </row>
    <row r="309" spans="26:26">
      <c r="Z309" s="16" t="str">
        <f t="shared" si="5"/>
        <v/>
      </c>
    </row>
    <row r="310" spans="26:26">
      <c r="Z310" s="16" t="str">
        <f t="shared" si="5"/>
        <v/>
      </c>
    </row>
    <row r="311" spans="26:26">
      <c r="Z311" s="16" t="str">
        <f t="shared" si="5"/>
        <v/>
      </c>
    </row>
    <row r="312" spans="26:26">
      <c r="Z312" s="16" t="str">
        <f t="shared" si="5"/>
        <v/>
      </c>
    </row>
    <row r="313" spans="26:26">
      <c r="Z313" s="16" t="str">
        <f t="shared" si="5"/>
        <v/>
      </c>
    </row>
    <row r="314" spans="26:26">
      <c r="Z314" s="16" t="str">
        <f t="shared" si="5"/>
        <v/>
      </c>
    </row>
    <row r="315" spans="26:26">
      <c r="Z315" s="16" t="str">
        <f t="shared" si="5"/>
        <v/>
      </c>
    </row>
    <row r="316" spans="26:26">
      <c r="Z316" s="16" t="str">
        <f t="shared" si="5"/>
        <v/>
      </c>
    </row>
    <row r="317" spans="26:26">
      <c r="Z317" s="16" t="str">
        <f t="shared" si="5"/>
        <v/>
      </c>
    </row>
    <row r="318" spans="26:26">
      <c r="Z318" s="16" t="str">
        <f t="shared" si="5"/>
        <v/>
      </c>
    </row>
    <row r="319" spans="26:26">
      <c r="Z319" s="16" t="str">
        <f t="shared" si="5"/>
        <v/>
      </c>
    </row>
    <row r="320" spans="26:26">
      <c r="Z320" s="16" t="str">
        <f t="shared" si="5"/>
        <v/>
      </c>
    </row>
    <row r="321" spans="1:26">
      <c r="Z321" s="16" t="str">
        <f t="shared" si="5"/>
        <v/>
      </c>
    </row>
    <row r="322" spans="1:26">
      <c r="Z322" s="16" t="str">
        <f t="shared" ref="Z322:Z328" si="6">IF(A322="★年休","←ここまで","")</f>
        <v/>
      </c>
    </row>
    <row r="323" spans="1:26">
      <c r="Z323" s="16" t="str">
        <f t="shared" si="6"/>
        <v/>
      </c>
    </row>
    <row r="324" spans="1:26">
      <c r="Z324" s="16" t="str">
        <f t="shared" si="6"/>
        <v/>
      </c>
    </row>
    <row r="325" spans="1:26">
      <c r="Z325" s="16" t="str">
        <f t="shared" si="6"/>
        <v/>
      </c>
    </row>
    <row r="326" spans="1:26">
      <c r="Z326" s="16" t="str">
        <f t="shared" si="6"/>
        <v/>
      </c>
    </row>
    <row r="327" spans="1:26">
      <c r="Z327" s="16" t="str">
        <f t="shared" si="6"/>
        <v/>
      </c>
    </row>
    <row r="328" spans="1:26">
      <c r="Z328" s="16" t="str">
        <f t="shared" si="6"/>
        <v/>
      </c>
    </row>
    <row r="329" spans="1:26">
      <c r="A329" s="16" t="s">
        <v>221</v>
      </c>
    </row>
  </sheetData>
  <autoFilter ref="B1:B329" xr:uid="{F1D00693-89EC-488B-AED6-95B2B33AC7D1}"/>
  <phoneticPr fontId="1"/>
  <pageMargins left="0.7" right="0.7" top="0.75" bottom="0.75" header="0.3" footer="0.3"/>
  <pageSetup paperSize="9" orientation="portrait" horizontalDpi="360" verticalDpi="360"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DE84AF-9FBE-42A5-8A19-B8B260B3F870}">
  <sheetPr codeName="Sheet3"/>
  <dimension ref="A1:T43"/>
  <sheetViews>
    <sheetView tabSelected="1" zoomScaleNormal="100" workbookViewId="0">
      <selection activeCell="L10" sqref="L10"/>
    </sheetView>
  </sheetViews>
  <sheetFormatPr defaultRowHeight="18.75"/>
  <cols>
    <col min="1" max="1" width="21.375" bestFit="1" customWidth="1"/>
    <col min="2" max="10" width="11.625" bestFit="1" customWidth="1"/>
    <col min="11" max="11" width="15.25" customWidth="1"/>
    <col min="13" max="13" width="11.375" customWidth="1"/>
  </cols>
  <sheetData>
    <row r="1" spans="1:20" ht="19.5" thickBot="1">
      <c r="A1" s="150" t="s">
        <v>2</v>
      </c>
      <c r="B1" s="151"/>
      <c r="C1" s="69" t="s">
        <v>3</v>
      </c>
      <c r="D1" s="70">
        <v>44256</v>
      </c>
      <c r="E1" s="70">
        <f>D1+1</f>
        <v>44257</v>
      </c>
      <c r="F1" s="71">
        <f t="shared" ref="F1:I1" si="0">E1+1</f>
        <v>44258</v>
      </c>
      <c r="G1" s="72">
        <f t="shared" si="0"/>
        <v>44259</v>
      </c>
      <c r="H1" s="70">
        <f t="shared" si="0"/>
        <v>44260</v>
      </c>
      <c r="I1" s="70">
        <f t="shared" si="0"/>
        <v>44261</v>
      </c>
      <c r="J1" s="73">
        <f>I1+1</f>
        <v>44262</v>
      </c>
    </row>
    <row r="2" spans="1:20" ht="19.5" thickTop="1">
      <c r="A2" s="152" t="s">
        <v>0</v>
      </c>
      <c r="B2" s="111" t="s">
        <v>8</v>
      </c>
      <c r="C2" s="3"/>
      <c r="D2" s="4"/>
      <c r="E2" s="5"/>
      <c r="F2" s="45"/>
      <c r="G2" s="40"/>
      <c r="H2" s="5"/>
      <c r="I2" s="5"/>
      <c r="J2" s="74"/>
      <c r="L2" t="str">
        <f>IF(Sheet1!L3=SUBSTITUTE(SUBSTITUTE(Sheet1!L5&amp;CHAR(10)&amp;"(～21:00)", CHAR(10), ""),"(～21:00)",""),"二人体制","三人体制")</f>
        <v>三人体制</v>
      </c>
    </row>
    <row r="3" spans="1:20" ht="33">
      <c r="A3" s="152"/>
      <c r="B3" s="154" t="s">
        <v>9</v>
      </c>
      <c r="C3" s="157"/>
      <c r="D3" s="62" t="str">
        <f>IF(COUNTIF(Sheet1!D3,"*(～21:00)*")=1,SUBSTITUTE(SUBSTITUTE(Sheet1!D3&amp;CHAR(10)&amp;"(～21:00)",CHAR(10),""),"(～21:00)",""),Sheet1!D3)&amp;CHAR(10)&amp;"(～21:00)"</f>
        <v>土田 月
(～21:00)</v>
      </c>
      <c r="E3" s="62" t="str">
        <f>IF(COUNTIF(Sheet1!E3,"*(～21:00)*")=1,SUBSTITUTE(SUBSTITUTE(Sheet1!E3&amp;CHAR(10)&amp;"(～21:00)",CHAR(10),""),"(～21:00)",""),Sheet1!E3)&amp;CHAR(10)&amp;"(～21:00)"</f>
        <v>土田 火
(～21:00)</v>
      </c>
      <c r="F3" s="62" t="str">
        <f>IF(COUNTIF(Sheet1!F3,"*(～21:00)*")=1,SUBSTITUTE(SUBSTITUTE(Sheet1!F3&amp;CHAR(10)&amp;"(～21:00)",CHAR(10),""),"(～21:00)",""),Sheet1!F3)&amp;CHAR(10)&amp;"(～21:00)"</f>
        <v>土田 水
(～21:00)</v>
      </c>
      <c r="G3" s="62" t="str">
        <f>IF(COUNTIF(Sheet1!G3,"*(～21:00)*")=1,SUBSTITUTE(SUBSTITUTE(Sheet1!G3&amp;CHAR(10)&amp;"(～21:00)",CHAR(10),""),"(～21:00)",""),Sheet1!G3)&amp;CHAR(10)&amp;"(～21:00)"</f>
        <v>土田 木
(～21:00)</v>
      </c>
      <c r="H3" s="62" t="str">
        <f>IF(COUNTIF(Sheet1!H3,"*(～21:00)*")=1,SUBSTITUTE(SUBSTITUTE(Sheet1!H3&amp;CHAR(10)&amp;"(～21:00)",CHAR(10),""),"(～21:00)",""),Sheet1!H3)&amp;CHAR(10)&amp;"(～21:00)"</f>
        <v>土田 金
(～21:00)</v>
      </c>
      <c r="I3" s="62" t="str">
        <f>IF(COUNTIF(Sheet1!I3,"*(～21:00)*")=1,SUBSTITUTE(SUBSTITUTE(Sheet1!I3&amp;CHAR(10)&amp;"(～21:00)",CHAR(10),""),"(～21:00)",""),Sheet1!I3)&amp;CHAR(10)&amp;"(～21:00)"</f>
        <v>土田 土
(～21:00)</v>
      </c>
      <c r="J3" s="62" t="str">
        <f>IF(COUNTIF(Sheet1!J3,"*(～21:00)*")=1,SUBSTITUTE(SUBSTITUTE(Sheet1!J3&amp;CHAR(10)&amp;"(～21:00)",CHAR(10),""),"(～21:00)",""),Sheet1!J3)&amp;CHAR(10)&amp;"(～21:00)"</f>
        <v>土田 日
(～21:00)</v>
      </c>
      <c r="L3" t="str">
        <f>IF(COUNTIF(Sheet1!L3,"*(～21:00)*")=1,SUBSTITUTE(SUBSTITUTE(Sheet1!L3&amp;CHAR(10)&amp;"(～21:00)",CHAR(10),""),"(～21:00)",""),Sheet1!L3)&amp;CHAR(10)&amp;"(～21:00)"</f>
        <v>黒木
(～21:00)</v>
      </c>
    </row>
    <row r="4" spans="1:20" ht="33">
      <c r="A4" s="152"/>
      <c r="B4" s="155"/>
      <c r="C4" s="158"/>
      <c r="D4" s="114" t="str">
        <f>IF(COUNTIF(Sheet1!D4,"*(～21:00)*")=1,SUBSTITUTE(SUBSTITUTE(Sheet1!D4&amp;CHAR(10)&amp;"(～21:00)",CHAR(10),""),"(～21:00)",""),Sheet1!D4)&amp;CHAR(10)&amp;"(～21:00)"</f>
        <v>菅井 月
(～21:00)</v>
      </c>
      <c r="E4" s="124" t="str">
        <f>IF(COUNTIF(Sheet1!E4,"*(～21:00)*")=1,SUBSTITUTE(SUBSTITUTE(Sheet1!E4&amp;CHAR(10)&amp;"(～21:00)",CHAR(10),""),"(～21:00)",""),Sheet1!E4)&amp;CHAR(10)&amp;"(～21:00)"</f>
        <v>菅井 火
(～21:00)</v>
      </c>
      <c r="F4" s="124" t="str">
        <f>IF(COUNTIF(Sheet1!F4,"*(～21:00)*")=1,SUBSTITUTE(SUBSTITUTE(Sheet1!F4&amp;CHAR(10)&amp;"(～21:00)",CHAR(10),""),"(～21:00)",""),Sheet1!F4)&amp;CHAR(10)&amp;"(～21:00)"</f>
        <v>菅井 水
(～21:00)</v>
      </c>
      <c r="G4" s="124" t="str">
        <f>IF(COUNTIF(Sheet1!G4,"*(～21:00)*")=1,SUBSTITUTE(SUBSTITUTE(Sheet1!G4&amp;CHAR(10)&amp;"(～21:00)",CHAR(10),""),"(～21:00)",""),Sheet1!G4)&amp;CHAR(10)&amp;"(～21:00)"</f>
        <v>菅井 木
(～21:00)</v>
      </c>
      <c r="H4" s="124" t="str">
        <f>IF(COUNTIF(Sheet1!H4,"*(～21:00)*")=1,SUBSTITUTE(SUBSTITUTE(Sheet1!H4&amp;CHAR(10)&amp;"(～21:00)",CHAR(10),""),"(～21:00)",""),Sheet1!H4)&amp;CHAR(10)&amp;"(～21:00)"</f>
        <v>菅井 金
(～21:00)</v>
      </c>
      <c r="I4" s="124" t="str">
        <f>IF(COUNTIF(Sheet1!I4,"*(～21:00)*")=1,SUBSTITUTE(SUBSTITUTE(Sheet1!I4&amp;CHAR(10)&amp;"(～21:00)",CHAR(10),""),"(～21:00)",""),Sheet1!I4)&amp;CHAR(10)&amp;"(～21:00)"</f>
        <v>菅井 土
(～21:00)</v>
      </c>
      <c r="J4" s="124" t="str">
        <f>IF(COUNTIF(Sheet1!J4,"*(～21:00)*")=1,SUBSTITUTE(SUBSTITUTE(Sheet1!J4&amp;CHAR(10)&amp;"(～21:00)",CHAR(10),""),"(～21:00)",""),Sheet1!J4)&amp;CHAR(10)&amp;"(～21:00)"</f>
        <v>菅井 日
(～21:00)</v>
      </c>
      <c r="L4" t="str">
        <f>IF(COUNTIF(Sheet1!L4,"*(～21:00)*")=1,SUBSTITUTE(SUBSTITUTE(Sheet1!L4&amp;CHAR(10)&amp;"(～21:00)",CHAR(10),""),"(～21:00)",""),Sheet1!L4)&amp;CHAR(10)&amp;"(～21:00)"</f>
        <v>相原
(～21:00)</v>
      </c>
    </row>
    <row r="5" spans="1:20" ht="33">
      <c r="A5" s="152"/>
      <c r="B5" s="154" t="s">
        <v>10</v>
      </c>
      <c r="C5" s="159"/>
      <c r="D5" s="113" t="str">
        <f>IF(COUNTIF(Sheet1!D3,"*:*")=0,
IF(COUNTIF(Sheet1!D5,"*(～21:00)*")=1,SUBSTITUTE(SUBSTITUTE("↓"&amp;CHAR(10)&amp;"(～21:00)", CHAR(10), ""),"(～21:00)",""),"↓")&amp;CHAR(10)&amp;"(～21:00)",
SUBSTITUTE(
        SUBSTITUTE(
            Sheet1!D3 &amp;
            CHAR(
                10
            ) &amp; "(～21:00)",
            CHAR(
                10
            ),
            ""
        ),
        "(～21:00)",
        ""))</f>
        <v>↓
(～21:00)</v>
      </c>
      <c r="E5" s="123" t="str">
        <f>IF(COUNTIF(Sheet1!E3,"*:*")=0,
IF(COUNTIF(Sheet1!E5,"*(～21:00)*")=1,SUBSTITUTE(SUBSTITUTE("↓"&amp;CHAR(10)&amp;"(～21:00)", CHAR(10), ""),"(～21:00)",""),"↓")&amp;CHAR(10)&amp;"(～21:00)",
SUBSTITUTE(
        SUBSTITUTE(
            Sheet1!E3 &amp;
            CHAR(
                10
            ) &amp; "(～21:00)",
            CHAR(
                10
            ),
            ""
        ),
        "(～21:00)",
        ""))</f>
        <v>↓
(～21:00)</v>
      </c>
      <c r="F5" s="123" t="str">
        <f>IF(COUNTIF(Sheet1!F3,"*:*")=0,
IF(COUNTIF(Sheet1!F5,"*(～21:00)*")=1,SUBSTITUTE(SUBSTITUTE("↓"&amp;CHAR(10)&amp;"(～21:00)", CHAR(10), ""),"(～21:00)",""),"↓")&amp;CHAR(10)&amp;"(～21:00)",
SUBSTITUTE(
        SUBSTITUTE(
            Sheet1!F3 &amp;
            CHAR(
                10
            ) &amp; "(～21:00)",
            CHAR(
                10
            ),
            ""
        ),
        "(～21:00)",
        ""))</f>
        <v>↓
(～21:00)</v>
      </c>
      <c r="G5" s="123" t="str">
        <f>IF(COUNTIF(Sheet1!G3,"*:*")=0,
IF(COUNTIF(Sheet1!G5,"*(～21:00)*")=1,SUBSTITUTE(SUBSTITUTE("↓"&amp;CHAR(10)&amp;"(～21:00)", CHAR(10), ""),"(～21:00)",""),"↓")&amp;CHAR(10)&amp;"(～21:00)",
SUBSTITUTE(
        SUBSTITUTE(
            Sheet1!G3 &amp;
            CHAR(
                10
            ) &amp; "(～21:00)",
            CHAR(
                10
            ),
            ""
        ),
        "(～21:00)",
        ""))</f>
        <v>↓
(～21:00)</v>
      </c>
      <c r="H5" s="123" t="str">
        <f>IF(COUNTIF(Sheet1!H3,"*:*")=0,
IF(COUNTIF(Sheet1!H5,"*(～21:00)*")=1,SUBSTITUTE(SUBSTITUTE("↓"&amp;CHAR(10)&amp;"(～21:00)", CHAR(10), ""),"(～21:00)",""),"↓")&amp;CHAR(10)&amp;"(～21:00)",
SUBSTITUTE(
        SUBSTITUTE(
            Sheet1!H3 &amp;
            CHAR(
                10
            ) &amp; "(～21:00)",
            CHAR(
                10
            ),
            ""
        ),
        "(～21:00)",
        ""))</f>
        <v>土田 金</v>
      </c>
      <c r="I5" s="123" t="str">
        <f>IF(COUNTIF(Sheet1!I3,"*:*")=0,
IF(COUNTIF(Sheet1!I5,"*(～21:00)*")=1,SUBSTITUTE(SUBSTITUTE("↓"&amp;CHAR(10)&amp;"(～21:00)", CHAR(10), ""),"(～21:00)",""),"↓")&amp;CHAR(10)&amp;"(～21:00)",
SUBSTITUTE(
        SUBSTITUTE(
            Sheet1!I3 &amp;
            CHAR(
                10
            ) &amp; "(～21:00)",
            CHAR(
                10
            ),
            ""
        ),
        "(～21:00)",
        ""))</f>
        <v>↓
(～21:00)</v>
      </c>
      <c r="J5" s="123" t="str">
        <f>IF(COUNTIF(Sheet1!J3,"*:*")=0,
IF(COUNTIF(Sheet1!J5,"*(～21:00)*")=1,SUBSTITUTE(SUBSTITUTE("↓"&amp;CHAR(10)&amp;"(～21:00)", CHAR(10), ""),"(～21:00)",""),"↓")&amp;CHAR(10)&amp;"(～21:00)",
SUBSTITUTE(
        SUBSTITUTE(
            Sheet1!J3 &amp;
            CHAR(
                10
            ) &amp; "(～21:00)",
            CHAR(
                10
            ),
            ""
        ),
        "(～21:00)",
        ""))</f>
        <v>↓
(～21:00)</v>
      </c>
      <c r="L5" t="str">
        <f>IF(COUNTIF(Sheet1!L3,"*:*")=0,
      IF(COUNTIF(Sheet1!L5,"*(～21:00)*")=1,SUBSTITUTE(SUBSTITUTE("↓"&amp;CHAR(10)&amp;"(～21:00)", CHAR(10), ""),"(～21:00)",""),"↓")&amp;CHAR(10)&amp;"(～21:00)",
      SUBSTITUTE(
        SUBSTITUTE(
            Sheet1!L3 &amp;
            CHAR(
                10
            ) &amp; "(～21:00)",
            CHAR(
                10
            ),
            ""
        ),
        "(～21:00)",
        ""))</f>
        <v>黒木</v>
      </c>
      <c r="P5" t="str">
        <f>SUBSTITUTE(SUBSTITUTE(Sheet1!L5&amp;CHAR(10)&amp;"(～21:00)", CHAR(10), ""),"(～21:00)","")</f>
        <v>黒木</v>
      </c>
    </row>
    <row r="6" spans="1:20" ht="19.5" thickBot="1">
      <c r="A6" s="153"/>
      <c r="B6" s="156"/>
      <c r="C6" s="160"/>
      <c r="D6" s="109" t="str">
        <f>IF(COUNTIF(Sheet1!D3,"*:*")=0,
"",
SUBSTITUTE(
        SUBSTITUTE(
            Sheet1!D4 &amp;
            CHAR(
                10
            ) &amp; "(～21:00)",
            CHAR(
                10
            ),
            ""
        ),
        "(～21:00)",
        ""))</f>
        <v/>
      </c>
      <c r="E6" s="109" t="str">
        <f>IF(COUNTIF(Sheet1!E3,"*:*")=0,
"",
SUBSTITUTE(
        SUBSTITUTE(
            Sheet1!E4 &amp;
            CHAR(
                10
            ) &amp; "(～21:00)",
            CHAR(
                10
            ),
            ""
        ),
        "(～21:00)",
        ""))</f>
        <v/>
      </c>
      <c r="F6" s="109" t="str">
        <f>IF(COUNTIF(Sheet1!F3,"*:*")=0,
"",
SUBSTITUTE(
        SUBSTITUTE(
            Sheet1!F4 &amp;
            CHAR(
                10
            ) &amp; "(～21:00)",
            CHAR(
                10
            ),
            ""
        ),
        "(～21:00)",
        ""))</f>
        <v/>
      </c>
      <c r="G6" s="109" t="str">
        <f>IF(COUNTIF(Sheet1!G3,"*:*")=0,
"",
SUBSTITUTE(
        SUBSTITUTE(
            Sheet1!G4 &amp;
            CHAR(
                10
            ) &amp; "(～21:00)",
            CHAR(
                10
            ),
            ""
        ),
        "(～21:00)",
        ""))</f>
        <v/>
      </c>
      <c r="H6" s="109" t="str">
        <f>IF(COUNTIF(Sheet1!H3,"*:*")=0,
"",
SUBSTITUTE(
        SUBSTITUTE(
            Sheet1!H4 &amp;
            CHAR(
                10
            ) &amp; "(～21:00)",
            CHAR(
                10
            ),
            ""
        ),
        "(～21:00)",
        ""))</f>
        <v>菅井 金</v>
      </c>
      <c r="I6" s="109" t="str">
        <f>IF(COUNTIF(Sheet1!I3,"*:*")=0,
"",
SUBSTITUTE(
        SUBSTITUTE(
            Sheet1!I4 &amp;
            CHAR(
                10
            ) &amp; "(～21:00)",
            CHAR(
                10
            ),
            ""
        ),
        "(～21:00)",
        ""))</f>
        <v/>
      </c>
      <c r="J6" s="109" t="str">
        <f>IF(COUNTIF(Sheet1!J3,"*:*")=0,
"",
SUBSTITUTE(
        SUBSTITUTE(
            Sheet1!J4 &amp;
            CHAR(
                10
            ) &amp; "(～21:00)",
            CHAR(
                10
            ),
            ""
        ),
        "(～21:00)",
        ""))</f>
        <v/>
      </c>
      <c r="L6" t="str">
        <f>IF(COUNTIF(Sheet1!L3,"*:*")=0,
"",
SUBSTITUTE(
        SUBSTITUTE(
            Sheet1!L4 &amp;
            CHAR(
                10
            ) &amp; "(～21:00)",
            CHAR(
                10
            ),
            ""
        ),
        "(～21:00)",
        ""))</f>
        <v>相原</v>
      </c>
      <c r="T6" s="1"/>
    </row>
    <row r="7" spans="1:20" ht="33.75" thickTop="1">
      <c r="A7" s="161" t="s">
        <v>4</v>
      </c>
      <c r="B7" s="31" t="s">
        <v>15</v>
      </c>
      <c r="C7" s="61"/>
      <c r="D7" s="101" t="str">
        <f>IF(COUNTIF(Sheet1!D7,"*(～20:30)*")=1,SUBSTITUTE(SUBSTITUTE(Sheet1!D7&amp;CHAR(10)&amp;"(～20:30)", CHAR(10), ""),"(～20:30)",""),Sheet1!D7)&amp;CHAR(10)&amp;"(～20:30)"</f>
        <v>相良 月
(～20:30)</v>
      </c>
      <c r="E7" s="101" t="str">
        <f>IF(COUNTIF(Sheet1!E7,"*(～20:30)*")=1,SUBSTITUTE(SUBSTITUTE(Sheet1!E7&amp;CHAR(10)&amp;"(～20:30)", CHAR(10), ""),"(～20:30)",""),Sheet1!E7)&amp;CHAR(10)&amp;"(～20:30)"</f>
        <v>相良 火
(～20:30)</v>
      </c>
      <c r="F7" s="101" t="str">
        <f>IF(COUNTIF(Sheet1!F7,"*(～20:30)*")=1,SUBSTITUTE(SUBSTITUTE(Sheet1!F7&amp;CHAR(10)&amp;"(～20:30)", CHAR(10), ""),"(～20:30)",""),Sheet1!F7)&amp;CHAR(10)&amp;"(～20:30)"</f>
        <v>相良 水
(～20:30)</v>
      </c>
      <c r="G7" s="101" t="str">
        <f>IF(COUNTIF(Sheet1!G7,"*(～20:30)*")=1,SUBSTITUTE(SUBSTITUTE(Sheet1!G7&amp;CHAR(10)&amp;"(～20:30)", CHAR(10), ""),"(～20:30)",""),Sheet1!G7)&amp;CHAR(10)&amp;"(～20:30)"</f>
        <v>相良 木
(～20:30)</v>
      </c>
      <c r="H7" s="101" t="str">
        <f>IF(COUNTIF(Sheet1!H7,"*(～20:30)*")=1,SUBSTITUTE(SUBSTITUTE(Sheet1!H7&amp;CHAR(10)&amp;"(～20:30)", CHAR(10), ""),"(～20:30)",""),Sheet1!H7)&amp;CHAR(10)&amp;"(～20:30)"</f>
        <v>相良 金
(～20:30)</v>
      </c>
      <c r="I7" s="105"/>
      <c r="J7" s="106"/>
    </row>
    <row r="8" spans="1:20" ht="33">
      <c r="A8" s="162"/>
      <c r="B8" s="142" t="s">
        <v>5</v>
      </c>
      <c r="C8" s="146"/>
      <c r="D8" s="57" t="str">
        <f>IF(
    COUNTIF(
        Sheet1!D8,
        "*(～20:30)*"
    ) = 1,
    SUBSTITUTE(
        SUBSTITUTE(
            Sheet1!D8 &amp;
            CHAR(
                10
            ) &amp; "(～20:30)",
            CHAR(
                10
            ),
            ""
        ),
        "(～20:30)",
        ""
    ),
    Sheet1!D8
) &amp;
CHAR(
    10
) &amp; "(～20:30)"</f>
        <v>北原 月
(～20:30)</v>
      </c>
      <c r="E8" s="57" t="s">
        <v>85</v>
      </c>
      <c r="F8" s="59" t="s">
        <v>30</v>
      </c>
      <c r="G8" s="60" t="s">
        <v>30</v>
      </c>
      <c r="H8" s="57" t="s">
        <v>30</v>
      </c>
      <c r="I8" s="58" t="s">
        <v>30</v>
      </c>
      <c r="J8" s="78"/>
    </row>
    <row r="9" spans="1:20" ht="33">
      <c r="A9" s="162"/>
      <c r="B9" s="143"/>
      <c r="C9" s="147"/>
      <c r="D9" s="6" t="str">
        <f>IF(
    COUNTIF(
        Sheet1!D9,
        "*(～20:30)*"
    ) = 1,
    SUBSTITUTE(
        SUBSTITUTE(
            Sheet1!D9 &amp;
            CHAR(
                10
            ) &amp; "(～20:30)",
            CHAR(
                10
            ),
            ""
        ),
        "(～20:30)",
        ""
    ),
    Sheet1!D9
) &amp;
CHAR(
    10
) &amp; "(～20:30)"</f>
        <v>二瓶 月
(～20:30)</v>
      </c>
      <c r="E9" s="6" t="s">
        <v>84</v>
      </c>
      <c r="F9" s="47" t="s">
        <v>31</v>
      </c>
      <c r="G9" s="41" t="s">
        <v>31</v>
      </c>
      <c r="H9" s="6" t="s">
        <v>31</v>
      </c>
      <c r="I9" s="30" t="s">
        <v>31</v>
      </c>
      <c r="J9" s="79"/>
      <c r="K9" s="99"/>
    </row>
    <row r="10" spans="1:20" ht="33">
      <c r="A10" s="162"/>
      <c r="B10" s="141" t="s">
        <v>1</v>
      </c>
      <c r="C10" s="148"/>
      <c r="D10" s="108" t="str">
        <f>IF(
    COUNTIF(
        Sheet1!D8,
        "*:*"
    ) = 0,
     IF(
        COUNTIF(
            Sheet1!D8,
            "*:*"
        ) = 1,
        SUBSTITUTE(
            SUBSTITUTE(
                "↓" &amp;
                CHAR(
                    10
                ) &amp; "(～20:30)",
                CHAR(
                    10
                ),
                ""
            ),
            "(～20:30)",
            ""
        ),
        "↓"
    ) &amp;
    CHAR(
        10
    ) &amp; "(～20:30)",
     SUBSTITUTE(
                 SUBSTITUTE(
              Sheet1!D8 &amp;              CHAR(
                  10
            ) &amp; "(～20:30)",
                         CHAR(
                  10
            ),
              ""
        ),
          "(～20:30)",
          ""
    )
)</f>
        <v>↓
(～20:30)</v>
      </c>
      <c r="E10" s="108" t="s">
        <v>94</v>
      </c>
      <c r="F10" s="108" t="s">
        <v>94</v>
      </c>
      <c r="G10" s="108" t="s">
        <v>94</v>
      </c>
      <c r="H10" s="108" t="s">
        <v>94</v>
      </c>
      <c r="I10" s="108" t="s">
        <v>94</v>
      </c>
      <c r="J10" s="80"/>
    </row>
    <row r="11" spans="1:20" ht="33.75" thickBot="1">
      <c r="A11" s="162"/>
      <c r="B11" s="142"/>
      <c r="C11" s="149"/>
      <c r="D11" s="107" t="str">
        <f>IF(
    COUNTIF(
        Sheet1!D8,
        "*:*"
    ) = 0,
 "",
     SUBSTITUTE(
                 SUBSTITUTE(
              Sheet1!D9 &amp;              CHAR(
                  10
            ) &amp; "(～20:30)",
                         CHAR(
                  10
            ),
              ""
        ),
          "(～20:30)",
          ""
    )
)</f>
        <v/>
      </c>
      <c r="E11" s="107" t="s">
        <v>94</v>
      </c>
      <c r="F11" s="107" t="s">
        <v>94</v>
      </c>
      <c r="G11" s="107" t="s">
        <v>94</v>
      </c>
      <c r="H11" s="107" t="s">
        <v>94</v>
      </c>
      <c r="I11" s="107" t="s">
        <v>94</v>
      </c>
      <c r="J11" s="81"/>
    </row>
    <row r="12" spans="1:20" ht="20.25" thickTop="1" thickBot="1">
      <c r="A12" s="139" t="s">
        <v>7</v>
      </c>
      <c r="B12" s="140"/>
      <c r="C12" s="7"/>
      <c r="D12" s="8" t="s">
        <v>50</v>
      </c>
      <c r="E12" s="8" t="s">
        <v>81</v>
      </c>
      <c r="F12" s="48" t="s">
        <v>50</v>
      </c>
      <c r="G12" s="12" t="s">
        <v>50</v>
      </c>
      <c r="H12" s="8" t="s">
        <v>50</v>
      </c>
      <c r="I12" s="9"/>
      <c r="J12" s="82"/>
    </row>
    <row r="13" spans="1:20" ht="20.25" thickTop="1" thickBot="1">
      <c r="A13" s="139" t="s">
        <v>11</v>
      </c>
      <c r="B13" s="140"/>
      <c r="C13" s="10"/>
      <c r="D13" s="13" t="s">
        <v>34</v>
      </c>
      <c r="E13" s="8" t="s">
        <v>80</v>
      </c>
      <c r="F13" s="48" t="s">
        <v>34</v>
      </c>
      <c r="G13" s="12" t="s">
        <v>34</v>
      </c>
      <c r="H13" s="8" t="s">
        <v>34</v>
      </c>
      <c r="I13" s="11"/>
      <c r="J13" s="82"/>
    </row>
    <row r="14" spans="1:20" ht="20.25" thickTop="1" thickBot="1">
      <c r="A14" s="144" t="str">
        <f>"桂上り(平日)"&amp;CHAR(10)&amp;"桂下り(土曜)"</f>
        <v>桂上り(平日)
桂下り(土曜)</v>
      </c>
      <c r="B14" s="145"/>
      <c r="C14" s="21"/>
      <c r="D14" s="32" t="s">
        <v>35</v>
      </c>
      <c r="E14" s="32" t="s">
        <v>79</v>
      </c>
      <c r="F14" s="49" t="s">
        <v>35</v>
      </c>
      <c r="G14" s="42" t="s">
        <v>35</v>
      </c>
      <c r="H14" s="32" t="s">
        <v>35</v>
      </c>
      <c r="I14" s="32" t="s">
        <v>35</v>
      </c>
      <c r="J14" s="119"/>
      <c r="K14" s="120"/>
    </row>
    <row r="15" spans="1:20" ht="20.25" thickTop="1" thickBot="1">
      <c r="A15" s="84"/>
      <c r="B15" s="33" t="s">
        <v>105</v>
      </c>
      <c r="C15" s="34"/>
      <c r="D15" s="32" t="str">
        <f t="array" ref="D15">IF(IFERROR(INDEX(Sheet1!$A$15:D$40,MATCH(LARGE((Sheet1!$A$15:$A$40="年休")*1/ROW(Sheet1!$A$15:$A$40),ROW()-14),1/ROW(Sheet1!$A$15:$A$40),0),COLUMN()),"")&lt;&gt;0,IFERROR(INDEX(Sheet1!$A$15:D$40,MATCH(LARGE((Sheet1!$A$15:$A$40="年休")*1/ROW(Sheet1!$A$15:$A$40),ROW()-14),1/ROW(Sheet1!$A$15:$A$40),0),COLUMN()),""),"")</f>
        <v/>
      </c>
      <c r="E15" s="32" t="str">
        <f t="array" ref="E15">IF(IFERROR(INDEX(Sheet1!$A$15:E$40,MATCH(LARGE((Sheet1!$A$15:$A$40="年休")*1/ROW(Sheet1!$A$15:$A$40),ROW()-14),1/ROW(Sheet1!$A$15:$A$40),0),COLUMN()),"")&lt;&gt;0,IFERROR(INDEX(Sheet1!$A$15:E$40,MATCH(LARGE((Sheet1!$A$15:$A$40="年休")*1/ROW(Sheet1!$A$15:$A$40),ROW()-14),1/ROW(Sheet1!$A$15:$A$40),0),COLUMN()),""),"")</f>
        <v/>
      </c>
      <c r="F15" s="32" t="str">
        <f t="array" ref="F15">IF(IFERROR(INDEX(Sheet1!$A$15:F$40,MATCH(LARGE((Sheet1!$A$15:$A$40="年休")*1/ROW(Sheet1!$A$15:$A$40),ROW()-14),1/ROW(Sheet1!$A$15:$A$40),0),COLUMN()),"")&lt;&gt;0,IFERROR(INDEX(Sheet1!$A$15:F$40,MATCH(LARGE((Sheet1!$A$15:$A$40="年休")*1/ROW(Sheet1!$A$15:$A$40),ROW()-14),1/ROW(Sheet1!$A$15:$A$40),0),COLUMN()),""),"")</f>
        <v/>
      </c>
      <c r="G15" s="32" t="str">
        <f t="array" ref="G15">IF(IFERROR(INDEX(Sheet1!$A$15:G$40,MATCH(LARGE((Sheet1!$A$15:$A$40="年休")*1/ROW(Sheet1!$A$15:$A$40),ROW()-14),1/ROW(Sheet1!$A$15:$A$40),0),COLUMN()),"")&lt;&gt;0,IFERROR(INDEX(Sheet1!$A$15:G$40,MATCH(LARGE((Sheet1!$A$15:$A$40="年休")*1/ROW(Sheet1!$A$15:$A$40),ROW()-14),1/ROW(Sheet1!$A$15:$A$40),0),COLUMN()),""),"")</f>
        <v/>
      </c>
      <c r="H15" s="32" t="str">
        <f t="array" ref="H15">IF(IFERROR(INDEX(Sheet1!$A$15:H$40,MATCH(LARGE((Sheet1!$A$15:$A$40="年休")*1/ROW(Sheet1!$A$15:$A$40),ROW()-14),1/ROW(Sheet1!$A$15:$A$40),0),COLUMN()),"")&lt;&gt;0,IFERROR(INDEX(Sheet1!$A$15:H$40,MATCH(LARGE((Sheet1!$A$15:$A$40="年休")*1/ROW(Sheet1!$A$15:$A$40),ROW()-14),1/ROW(Sheet1!$A$15:$A$40),0),COLUMN()),""),"")</f>
        <v/>
      </c>
      <c r="I15" s="32" t="str">
        <f t="array" ref="I15">IF(IFERROR(INDEX(Sheet1!$A$15:I$40,MATCH(LARGE((Sheet1!$A$15:$A$40="年休")*1/ROW(Sheet1!$A$15:$A$40),ROW()-14),1/ROW(Sheet1!$A$15:$A$40),0),COLUMN()),"")&lt;&gt;0,IFERROR(INDEX(Sheet1!$A$15:I$40,MATCH(LARGE((Sheet1!$A$15:$A$40="年休")*1/ROW(Sheet1!$A$15:$A$40),ROW()-14),1/ROW(Sheet1!$A$15:$A$40),0),COLUMN()),""),"")</f>
        <v/>
      </c>
      <c r="J15" s="32" t="str">
        <f t="array" ref="J15">IF(IFERROR(INDEX(Sheet1!$A$15:J$40,MATCH(LARGE((Sheet1!$A$15:$A$40="年休")*1/ROW(Sheet1!$A$15:$A$40),ROW()-14),1/ROW(Sheet1!$A$15:$A$40),0),COLUMN()),"")&lt;&gt;0,IFERROR(INDEX(Sheet1!$A$15:J$40,MATCH(LARGE((Sheet1!$A$15:$A$40="年休")*1/ROW(Sheet1!$A$15:$A$40),ROW()-14),1/ROW(Sheet1!$A$15:$A$40),0),COLUMN()),""),"")</f>
        <v/>
      </c>
    </row>
    <row r="16" spans="1:20" ht="20.25" thickTop="1" thickBot="1">
      <c r="A16" s="98"/>
      <c r="B16" s="33"/>
      <c r="C16" s="115"/>
      <c r="D16" s="32" t="str">
        <f t="array" ref="D16">IF(IFERROR(INDEX(Sheet1!$A$15:D$40,MATCH(LARGE((Sheet1!$A$15:$A$40="年休")*1/ROW(Sheet1!$A$15:$A$40),ROW()-14),1/ROW(Sheet1!$A$15:$A$40),0),COLUMN()),"")&lt;&gt;0,IFERROR(INDEX(Sheet1!$A$15:D$40,MATCH(LARGE((Sheet1!$A$15:$A$40="年休")*1/ROW(Sheet1!$A$15:$A$40),ROW()-14),1/ROW(Sheet1!$A$15:$A$40),0),COLUMN()),""),"")</f>
        <v/>
      </c>
      <c r="E16" s="32" t="str">
        <f t="array" ref="E16">IF(IFERROR(INDEX(Sheet1!$A$15:E$40,MATCH(LARGE((Sheet1!$A$15:$A$40="年休")*1/ROW(Sheet1!$A$15:$A$40),ROW()-14),1/ROW(Sheet1!$A$15:$A$40),0),COLUMN()),"")&lt;&gt;0,IFERROR(INDEX(Sheet1!$A$15:E$40,MATCH(LARGE((Sheet1!$A$15:$A$40="年休")*1/ROW(Sheet1!$A$15:$A$40),ROW()-14),1/ROW(Sheet1!$A$15:$A$40),0),COLUMN()),""),"")</f>
        <v/>
      </c>
      <c r="F16" s="32" t="str">
        <f t="array" ref="F16">IF(IFERROR(INDEX(Sheet1!$A$15:F$40,MATCH(LARGE((Sheet1!$A$15:$A$40="年休")*1/ROW(Sheet1!$A$15:$A$40),ROW()-14),1/ROW(Sheet1!$A$15:$A$40),0),COLUMN()),"")&lt;&gt;0,IFERROR(INDEX(Sheet1!$A$15:F$40,MATCH(LARGE((Sheet1!$A$15:$A$40="年休")*1/ROW(Sheet1!$A$15:$A$40),ROW()-14),1/ROW(Sheet1!$A$15:$A$40),0),COLUMN()),""),"")</f>
        <v/>
      </c>
      <c r="G16" s="32" t="str">
        <f t="array" ref="G16">IF(IFERROR(INDEX(Sheet1!$A$15:G$40,MATCH(LARGE((Sheet1!$A$15:$A$40="年休")*1/ROW(Sheet1!$A$15:$A$40),ROW()-14),1/ROW(Sheet1!$A$15:$A$40),0),COLUMN()),"")&lt;&gt;0,IFERROR(INDEX(Sheet1!$A$15:G$40,MATCH(LARGE((Sheet1!$A$15:$A$40="年休")*1/ROW(Sheet1!$A$15:$A$40),ROW()-14),1/ROW(Sheet1!$A$15:$A$40),0),COLUMN()),""),"")</f>
        <v/>
      </c>
      <c r="H16" s="32" t="str">
        <f t="array" ref="H16">IF(IFERROR(INDEX(Sheet1!$A$15:H$40,MATCH(LARGE((Sheet1!$A$15:$A$40="年休")*1/ROW(Sheet1!$A$15:$A$40),ROW()-14),1/ROW(Sheet1!$A$15:$A$40),0),COLUMN()),"")&lt;&gt;0,IFERROR(INDEX(Sheet1!$A$15:H$40,MATCH(LARGE((Sheet1!$A$15:$A$40="年休")*1/ROW(Sheet1!$A$15:$A$40),ROW()-14),1/ROW(Sheet1!$A$15:$A$40),0),COLUMN()),""),"")</f>
        <v/>
      </c>
      <c r="I16" s="32" t="str">
        <f t="array" ref="I16">IF(IFERROR(INDEX(Sheet1!$A$15:I$40,MATCH(LARGE((Sheet1!$A$15:$A$40="年休")*1/ROW(Sheet1!$A$15:$A$40),ROW()-14),1/ROW(Sheet1!$A$15:$A$40),0),COLUMN()),"")&lt;&gt;0,IFERROR(INDEX(Sheet1!$A$15:I$40,MATCH(LARGE((Sheet1!$A$15:$A$40="年休")*1/ROW(Sheet1!$A$15:$A$40),ROW()-14),1/ROW(Sheet1!$A$15:$A$40),0),COLUMN()),""),"")</f>
        <v/>
      </c>
      <c r="J16" s="32" t="str">
        <f t="array" ref="J16">IF(IFERROR(INDEX(Sheet1!$A$15:J$40,MATCH(LARGE((Sheet1!$A$15:$A$40="年休")*1/ROW(Sheet1!$A$15:$A$40),ROW()-14),1/ROW(Sheet1!$A$15:$A$40),0),COLUMN()),"")&lt;&gt;0,IFERROR(INDEX(Sheet1!$A$15:J$40,MATCH(LARGE((Sheet1!$A$15:$A$40="年休")*1/ROW(Sheet1!$A$15:$A$40),ROW()-14),1/ROW(Sheet1!$A$15:$A$40),0),COLUMN()),""),"")</f>
        <v/>
      </c>
    </row>
    <row r="17" spans="1:10" ht="20.25" thickTop="1" thickBot="1">
      <c r="A17" s="87"/>
      <c r="B17" s="68"/>
      <c r="C17" s="36"/>
      <c r="D17" s="32" t="str">
        <f t="array" ref="D17">IF(IFERROR(INDEX(Sheet1!$A$15:D$40,MATCH(LARGE((Sheet1!$A$15:$A$40="年休")*1/ROW(Sheet1!$A$15:$A$40),ROW()-14),1/ROW(Sheet1!$A$15:$A$40),0),COLUMN()),"")&lt;&gt;0,IFERROR(INDEX(Sheet1!$A$15:D$40,MATCH(LARGE((Sheet1!$A$15:$A$40="年休")*1/ROW(Sheet1!$A$15:$A$40),ROW()-14),1/ROW(Sheet1!$A$15:$A$40),0),COLUMN()),""),"")</f>
        <v/>
      </c>
      <c r="E17" s="32" t="str">
        <f t="array" ref="E17">IF(IFERROR(INDEX(Sheet1!$A$15:E$40,MATCH(LARGE((Sheet1!$A$15:$A$40="年休")*1/ROW(Sheet1!$A$15:$A$40),ROW()-14),1/ROW(Sheet1!$A$15:$A$40),0),COLUMN()),"")&lt;&gt;0,IFERROR(INDEX(Sheet1!$A$15:E$40,MATCH(LARGE((Sheet1!$A$15:$A$40="年休")*1/ROW(Sheet1!$A$15:$A$40),ROW()-14),1/ROW(Sheet1!$A$15:$A$40),0),COLUMN()),""),"")</f>
        <v/>
      </c>
      <c r="F17" s="32" t="str">
        <f t="array" ref="F17">IF(IFERROR(INDEX(Sheet1!$A$15:F$40,MATCH(LARGE((Sheet1!$A$15:$A$40="年休")*1/ROW(Sheet1!$A$15:$A$40),ROW()-14),1/ROW(Sheet1!$A$15:$A$40),0),COLUMN()),"")&lt;&gt;0,IFERROR(INDEX(Sheet1!$A$15:F$40,MATCH(LARGE((Sheet1!$A$15:$A$40="年休")*1/ROW(Sheet1!$A$15:$A$40),ROW()-14),1/ROW(Sheet1!$A$15:$A$40),0),COLUMN()),""),"")</f>
        <v/>
      </c>
      <c r="G17" s="32" t="str">
        <f t="array" ref="G17">IF(IFERROR(INDEX(Sheet1!$A$15:G$40,MATCH(LARGE((Sheet1!$A$15:$A$40="年休")*1/ROW(Sheet1!$A$15:$A$40),ROW()-14),1/ROW(Sheet1!$A$15:$A$40),0),COLUMN()),"")&lt;&gt;0,IFERROR(INDEX(Sheet1!$A$15:G$40,MATCH(LARGE((Sheet1!$A$15:$A$40="年休")*1/ROW(Sheet1!$A$15:$A$40),ROW()-14),1/ROW(Sheet1!$A$15:$A$40),0),COLUMN()),""),"")</f>
        <v/>
      </c>
      <c r="H17" s="32" t="str">
        <f t="array" ref="H17">IF(IFERROR(INDEX(Sheet1!$A$15:H$40,MATCH(LARGE((Sheet1!$A$15:$A$40="年休")*1/ROW(Sheet1!$A$15:$A$40),ROW()-14),1/ROW(Sheet1!$A$15:$A$40),0),COLUMN()),"")&lt;&gt;0,IFERROR(INDEX(Sheet1!$A$15:H$40,MATCH(LARGE((Sheet1!$A$15:$A$40="年休")*1/ROW(Sheet1!$A$15:$A$40),ROW()-14),1/ROW(Sheet1!$A$15:$A$40),0),COLUMN()),""),"")</f>
        <v/>
      </c>
      <c r="I17" s="32" t="str">
        <f t="array" ref="I17">IF(IFERROR(INDEX(Sheet1!$A$15:I$40,MATCH(LARGE((Sheet1!$A$15:$A$40="年休")*1/ROW(Sheet1!$A$15:$A$40),ROW()-14),1/ROW(Sheet1!$A$15:$A$40),0),COLUMN()),"")&lt;&gt;0,IFERROR(INDEX(Sheet1!$A$15:I$40,MATCH(LARGE((Sheet1!$A$15:$A$40="年休")*1/ROW(Sheet1!$A$15:$A$40),ROW()-14),1/ROW(Sheet1!$A$15:$A$40),0),COLUMN()),""),"")</f>
        <v/>
      </c>
      <c r="J17" s="32" t="str">
        <f t="array" ref="J17">IF(IFERROR(INDEX(Sheet1!$A$15:J$40,MATCH(LARGE((Sheet1!$A$15:$A$40="年休")*1/ROW(Sheet1!$A$15:$A$40),ROW()-14),1/ROW(Sheet1!$A$15:$A$40),0),COLUMN()),"")&lt;&gt;0,IFERROR(INDEX(Sheet1!$A$15:J$40,MATCH(LARGE((Sheet1!$A$15:$A$40="年休")*1/ROW(Sheet1!$A$15:$A$40),ROW()-14),1/ROW(Sheet1!$A$15:$A$40),0),COLUMN()),""),"")</f>
        <v/>
      </c>
    </row>
    <row r="18" spans="1:10" ht="20.25" thickTop="1" thickBot="1">
      <c r="A18" s="84"/>
      <c r="B18" s="33"/>
      <c r="C18" s="38"/>
      <c r="D18" s="32" t="str">
        <f t="array" ref="D18">IF(IFERROR(INDEX(Sheet1!$A$15:D$40,MATCH(LARGE((Sheet1!$A$15:$A$40="年休")*1/ROW(Sheet1!$A$15:$A$40),ROW()-14),1/ROW(Sheet1!$A$15:$A$40),0),COLUMN()),"")&lt;&gt;0,IFERROR(INDEX(Sheet1!$A$15:D$40,MATCH(LARGE((Sheet1!$A$15:$A$40="年休")*1/ROW(Sheet1!$A$15:$A$40),ROW()-14),1/ROW(Sheet1!$A$15:$A$40),0),COLUMN()),""),"")</f>
        <v/>
      </c>
      <c r="E18" s="32" t="str">
        <f t="array" ref="E18">IF(IFERROR(INDEX(Sheet1!$A$15:E$40,MATCH(LARGE((Sheet1!$A$15:$A$40="年休")*1/ROW(Sheet1!$A$15:$A$40),ROW()-14),1/ROW(Sheet1!$A$15:$A$40),0),COLUMN()),"")&lt;&gt;0,IFERROR(INDEX(Sheet1!$A$15:E$40,MATCH(LARGE((Sheet1!$A$15:$A$40="年休")*1/ROW(Sheet1!$A$15:$A$40),ROW()-14),1/ROW(Sheet1!$A$15:$A$40),0),COLUMN()),""),"")</f>
        <v/>
      </c>
      <c r="F18" s="32" t="str">
        <f t="array" ref="F18">IF(IFERROR(INDEX(Sheet1!$A$15:F$40,MATCH(LARGE((Sheet1!$A$15:$A$40="年休")*1/ROW(Sheet1!$A$15:$A$40),ROW()-14),1/ROW(Sheet1!$A$15:$A$40),0),COLUMN()),"")&lt;&gt;0,IFERROR(INDEX(Sheet1!$A$15:F$40,MATCH(LARGE((Sheet1!$A$15:$A$40="年休")*1/ROW(Sheet1!$A$15:$A$40),ROW()-14),1/ROW(Sheet1!$A$15:$A$40),0),COLUMN()),""),"")</f>
        <v/>
      </c>
      <c r="G18" s="32" t="str">
        <f t="array" ref="G18">IF(IFERROR(INDEX(Sheet1!$A$15:G$40,MATCH(LARGE((Sheet1!$A$15:$A$40="年休")*1/ROW(Sheet1!$A$15:$A$40),ROW()-14),1/ROW(Sheet1!$A$15:$A$40),0),COLUMN()),"")&lt;&gt;0,IFERROR(INDEX(Sheet1!$A$15:G$40,MATCH(LARGE((Sheet1!$A$15:$A$40="年休")*1/ROW(Sheet1!$A$15:$A$40),ROW()-14),1/ROW(Sheet1!$A$15:$A$40),0),COLUMN()),""),"")</f>
        <v/>
      </c>
      <c r="H18" s="32" t="str">
        <f t="array" ref="H18">IF(IFERROR(INDEX(Sheet1!$A$15:H$40,MATCH(LARGE((Sheet1!$A$15:$A$40="年休")*1/ROW(Sheet1!$A$15:$A$40),ROW()-14),1/ROW(Sheet1!$A$15:$A$40),0),COLUMN()),"")&lt;&gt;0,IFERROR(INDEX(Sheet1!$A$15:H$40,MATCH(LARGE((Sheet1!$A$15:$A$40="年休")*1/ROW(Sheet1!$A$15:$A$40),ROW()-14),1/ROW(Sheet1!$A$15:$A$40),0),COLUMN()),""),"")</f>
        <v/>
      </c>
      <c r="I18" s="32" t="str">
        <f t="array" ref="I18">IF(IFERROR(INDEX(Sheet1!$A$15:I$40,MATCH(LARGE((Sheet1!$A$15:$A$40="年休")*1/ROW(Sheet1!$A$15:$A$40),ROW()-14),1/ROW(Sheet1!$A$15:$A$40),0),COLUMN()),"")&lt;&gt;0,IFERROR(INDEX(Sheet1!$A$15:I$40,MATCH(LARGE((Sheet1!$A$15:$A$40="年休")*1/ROW(Sheet1!$A$15:$A$40),ROW()-14),1/ROW(Sheet1!$A$15:$A$40),0),COLUMN()),""),"")</f>
        <v/>
      </c>
      <c r="J18" s="32" t="str">
        <f t="array" ref="J18">IF(IFERROR(INDEX(Sheet1!$A$15:J$40,MATCH(LARGE((Sheet1!$A$15:$A$40="年休")*1/ROW(Sheet1!$A$15:$A$40),ROW()-14),1/ROW(Sheet1!$A$15:$A$40),0),COLUMN()),"")&lt;&gt;0,IFERROR(INDEX(Sheet1!$A$15:J$40,MATCH(LARGE((Sheet1!$A$15:$A$40="年休")*1/ROW(Sheet1!$A$15:$A$40),ROW()-14),1/ROW(Sheet1!$A$15:$A$40),0),COLUMN()),""),"")</f>
        <v/>
      </c>
    </row>
    <row r="19" spans="1:10" ht="20.25" thickTop="1" thickBot="1">
      <c r="A19" s="86"/>
      <c r="B19" s="33"/>
      <c r="C19" s="14"/>
      <c r="D19" s="32" t="str">
        <f t="array" ref="D19">IF(IFERROR(INDEX(Sheet1!$A$15:D$40,MATCH(LARGE((Sheet1!$A$15:$A$40="年休")*1/ROW(Sheet1!$A$15:$A$40),ROW()-14),1/ROW(Sheet1!$A$15:$A$40),0),COLUMN()),"")&lt;&gt;0,IFERROR(INDEX(Sheet1!$A$15:D$40,MATCH(LARGE((Sheet1!$A$15:$A$40="年休")*1/ROW(Sheet1!$A$15:$A$40),ROW()-14),1/ROW(Sheet1!$A$15:$A$40),0),COLUMN()),""),"")</f>
        <v/>
      </c>
      <c r="E19" s="32" t="str">
        <f t="array" ref="E19">IF(IFERROR(INDEX(Sheet1!$A$15:E$40,MATCH(LARGE((Sheet1!$A$15:$A$40="年休")*1/ROW(Sheet1!$A$15:$A$40),ROW()-14),1/ROW(Sheet1!$A$15:$A$40),0),COLUMN()),"")&lt;&gt;0,IFERROR(INDEX(Sheet1!$A$15:E$40,MATCH(LARGE((Sheet1!$A$15:$A$40="年休")*1/ROW(Sheet1!$A$15:$A$40),ROW()-14),1/ROW(Sheet1!$A$15:$A$40),0),COLUMN()),""),"")</f>
        <v/>
      </c>
      <c r="F19" s="32" t="str">
        <f t="array" ref="F19">IF(IFERROR(INDEX(Sheet1!$A$15:F$40,MATCH(LARGE((Sheet1!$A$15:$A$40="年休")*1/ROW(Sheet1!$A$15:$A$40),ROW()-14),1/ROW(Sheet1!$A$15:$A$40),0),COLUMN()),"")&lt;&gt;0,IFERROR(INDEX(Sheet1!$A$15:F$40,MATCH(LARGE((Sheet1!$A$15:$A$40="年休")*1/ROW(Sheet1!$A$15:$A$40),ROW()-14),1/ROW(Sheet1!$A$15:$A$40),0),COLUMN()),""),"")</f>
        <v/>
      </c>
      <c r="G19" s="32" t="str">
        <f t="array" ref="G19">IF(IFERROR(INDEX(Sheet1!$A$15:G$40,MATCH(LARGE((Sheet1!$A$15:$A$40="年休")*1/ROW(Sheet1!$A$15:$A$40),ROW()-14),1/ROW(Sheet1!$A$15:$A$40),0),COLUMN()),"")&lt;&gt;0,IFERROR(INDEX(Sheet1!$A$15:G$40,MATCH(LARGE((Sheet1!$A$15:$A$40="年休")*1/ROW(Sheet1!$A$15:$A$40),ROW()-14),1/ROW(Sheet1!$A$15:$A$40),0),COLUMN()),""),"")</f>
        <v/>
      </c>
      <c r="H19" s="32" t="str">
        <f t="array" ref="H19">IF(IFERROR(INDEX(Sheet1!$A$15:H$40,MATCH(LARGE((Sheet1!$A$15:$A$40="年休")*1/ROW(Sheet1!$A$15:$A$40),ROW()-14),1/ROW(Sheet1!$A$15:$A$40),0),COLUMN()),"")&lt;&gt;0,IFERROR(INDEX(Sheet1!$A$15:H$40,MATCH(LARGE((Sheet1!$A$15:$A$40="年休")*1/ROW(Sheet1!$A$15:$A$40),ROW()-14),1/ROW(Sheet1!$A$15:$A$40),0),COLUMN()),""),"")</f>
        <v/>
      </c>
      <c r="I19" s="32" t="str">
        <f t="array" ref="I19">IF(IFERROR(INDEX(Sheet1!$A$15:I$40,MATCH(LARGE((Sheet1!$A$15:$A$40="年休")*1/ROW(Sheet1!$A$15:$A$40),ROW()-14),1/ROW(Sheet1!$A$15:$A$40),0),COLUMN()),"")&lt;&gt;0,IFERROR(INDEX(Sheet1!$A$15:I$40,MATCH(LARGE((Sheet1!$A$15:$A$40="年休")*1/ROW(Sheet1!$A$15:$A$40),ROW()-14),1/ROW(Sheet1!$A$15:$A$40),0),COLUMN()),""),"")</f>
        <v/>
      </c>
      <c r="J19" s="32" t="str">
        <f t="array" ref="J19">IF(IFERROR(INDEX(Sheet1!$A$15:J$40,MATCH(LARGE((Sheet1!$A$15:$A$40="年休")*1/ROW(Sheet1!$A$15:$A$40),ROW()-14),1/ROW(Sheet1!$A$15:$A$40),0),COLUMN()),"")&lt;&gt;0,IFERROR(INDEX(Sheet1!$A$15:J$40,MATCH(LARGE((Sheet1!$A$15:$A$40="年休")*1/ROW(Sheet1!$A$15:$A$40),ROW()-14),1/ROW(Sheet1!$A$15:$A$40),0),COLUMN()),""),"")</f>
        <v/>
      </c>
    </row>
    <row r="20" spans="1:10" ht="20.25" thickTop="1" thickBot="1">
      <c r="A20" s="91"/>
      <c r="B20" s="33"/>
      <c r="C20" s="10"/>
      <c r="D20" s="32" t="str">
        <f t="array" ref="D20">IF(IFERROR(INDEX(Sheet1!$A$15:D$40,MATCH(LARGE((Sheet1!$A$15:$A$40="年休")*1/ROW(Sheet1!$A$15:$A$40),ROW()-14),1/ROW(Sheet1!$A$15:$A$40),0),COLUMN()),"")&lt;&gt;0,IFERROR(INDEX(Sheet1!$A$15:D$40,MATCH(LARGE((Sheet1!$A$15:$A$40="年休")*1/ROW(Sheet1!$A$15:$A$40),ROW()-14),1/ROW(Sheet1!$A$15:$A$40),0),COLUMN()),""),"")</f>
        <v/>
      </c>
      <c r="E20" s="32" t="str">
        <f t="array" ref="E20">IF(IFERROR(INDEX(Sheet1!$A$15:E$40,MATCH(LARGE((Sheet1!$A$15:$A$40="年休")*1/ROW(Sheet1!$A$15:$A$40),ROW()-14),1/ROW(Sheet1!$A$15:$A$40),0),COLUMN()),"")&lt;&gt;0,IFERROR(INDEX(Sheet1!$A$15:E$40,MATCH(LARGE((Sheet1!$A$15:$A$40="年休")*1/ROW(Sheet1!$A$15:$A$40),ROW()-14),1/ROW(Sheet1!$A$15:$A$40),0),COLUMN()),""),"")</f>
        <v/>
      </c>
      <c r="F20" s="32" t="str">
        <f t="array" ref="F20">IF(IFERROR(INDEX(Sheet1!$A$15:F$40,MATCH(LARGE((Sheet1!$A$15:$A$40="年休")*1/ROW(Sheet1!$A$15:$A$40),ROW()-14),1/ROW(Sheet1!$A$15:$A$40),0),COLUMN()),"")&lt;&gt;0,IFERROR(INDEX(Sheet1!$A$15:F$40,MATCH(LARGE((Sheet1!$A$15:$A$40="年休")*1/ROW(Sheet1!$A$15:$A$40),ROW()-14),1/ROW(Sheet1!$A$15:$A$40),0),COLUMN()),""),"")</f>
        <v/>
      </c>
      <c r="G20" s="32" t="str">
        <f t="array" ref="G20">IF(IFERROR(INDEX(Sheet1!$A$15:G$40,MATCH(LARGE((Sheet1!$A$15:$A$40="年休")*1/ROW(Sheet1!$A$15:$A$40),ROW()-14),1/ROW(Sheet1!$A$15:$A$40),0),COLUMN()),"")&lt;&gt;0,IFERROR(INDEX(Sheet1!$A$15:G$40,MATCH(LARGE((Sheet1!$A$15:$A$40="年休")*1/ROW(Sheet1!$A$15:$A$40),ROW()-14),1/ROW(Sheet1!$A$15:$A$40),0),COLUMN()),""),"")</f>
        <v/>
      </c>
      <c r="H20" s="32" t="str">
        <f t="array" ref="H20">IF(IFERROR(INDEX(Sheet1!$A$15:H$40,MATCH(LARGE((Sheet1!$A$15:$A$40="年休")*1/ROW(Sheet1!$A$15:$A$40),ROW()-14),1/ROW(Sheet1!$A$15:$A$40),0),COLUMN()),"")&lt;&gt;0,IFERROR(INDEX(Sheet1!$A$15:H$40,MATCH(LARGE((Sheet1!$A$15:$A$40="年休")*1/ROW(Sheet1!$A$15:$A$40),ROW()-14),1/ROW(Sheet1!$A$15:$A$40),0),COLUMN()),""),"")</f>
        <v/>
      </c>
      <c r="I20" s="32" t="str">
        <f t="array" ref="I20">IF(IFERROR(INDEX(Sheet1!$A$15:I$40,MATCH(LARGE((Sheet1!$A$15:$A$40="年休")*1/ROW(Sheet1!$A$15:$A$40),ROW()-14),1/ROW(Sheet1!$A$15:$A$40),0),COLUMN()),"")&lt;&gt;0,IFERROR(INDEX(Sheet1!$A$15:I$40,MATCH(LARGE((Sheet1!$A$15:$A$40="年休")*1/ROW(Sheet1!$A$15:$A$40),ROW()-14),1/ROW(Sheet1!$A$15:$A$40),0),COLUMN()),""),"")</f>
        <v/>
      </c>
      <c r="J20" s="32" t="str">
        <f t="array" ref="J20">IF(IFERROR(INDEX(Sheet1!$A$15:J$40,MATCH(LARGE((Sheet1!$A$15:$A$40="年休")*1/ROW(Sheet1!$A$15:$A$40),ROW()-14),1/ROW(Sheet1!$A$15:$A$40),0),COLUMN()),"")&lt;&gt;0,IFERROR(INDEX(Sheet1!$A$15:J$40,MATCH(LARGE((Sheet1!$A$15:$A$40="年休")*1/ROW(Sheet1!$A$15:$A$40),ROW()-14),1/ROW(Sheet1!$A$15:$A$40),0),COLUMN()),""),"")</f>
        <v/>
      </c>
    </row>
    <row r="21" spans="1:10" ht="20.25" thickTop="1" thickBot="1">
      <c r="A21" s="93"/>
      <c r="B21" s="33"/>
      <c r="C21" s="29"/>
      <c r="D21" s="32" t="str">
        <f t="array" ref="D21">IF(IFERROR(INDEX(Sheet1!$A$15:D$40,MATCH(LARGE((Sheet1!$A$15:$A$40="年休")*1/ROW(Sheet1!$A$15:$A$40),ROW()-14),1/ROW(Sheet1!$A$15:$A$40),0),COLUMN()),"")&lt;&gt;0,IFERROR(INDEX(Sheet1!$A$15:D$40,MATCH(LARGE((Sheet1!$A$15:$A$40="年休")*1/ROW(Sheet1!$A$15:$A$40),ROW()-14),1/ROW(Sheet1!$A$15:$A$40),0),COLUMN()),""),"")</f>
        <v/>
      </c>
      <c r="E21" s="32" t="str">
        <f t="array" ref="E21">IF(IFERROR(INDEX(Sheet1!$A$15:E$40,MATCH(LARGE((Sheet1!$A$15:$A$40="年休")*1/ROW(Sheet1!$A$15:$A$40),ROW()-14),1/ROW(Sheet1!$A$15:$A$40),0),COLUMN()),"")&lt;&gt;0,IFERROR(INDEX(Sheet1!$A$15:E$40,MATCH(LARGE((Sheet1!$A$15:$A$40="年休")*1/ROW(Sheet1!$A$15:$A$40),ROW()-14),1/ROW(Sheet1!$A$15:$A$40),0),COLUMN()),""),"")</f>
        <v/>
      </c>
      <c r="F21" s="32" t="str">
        <f t="array" ref="F21">IF(IFERROR(INDEX(Sheet1!$A$15:F$40,MATCH(LARGE((Sheet1!$A$15:$A$40="年休")*1/ROW(Sheet1!$A$15:$A$40),ROW()-14),1/ROW(Sheet1!$A$15:$A$40),0),COLUMN()),"")&lt;&gt;0,IFERROR(INDEX(Sheet1!$A$15:F$40,MATCH(LARGE((Sheet1!$A$15:$A$40="年休")*1/ROW(Sheet1!$A$15:$A$40),ROW()-14),1/ROW(Sheet1!$A$15:$A$40),0),COLUMN()),""),"")</f>
        <v/>
      </c>
      <c r="G21" s="32" t="str">
        <f t="array" ref="G21">IF(IFERROR(INDEX(Sheet1!$A$15:G$40,MATCH(LARGE((Sheet1!$A$15:$A$40="年休")*1/ROW(Sheet1!$A$15:$A$40),ROW()-14),1/ROW(Sheet1!$A$15:$A$40),0),COLUMN()),"")&lt;&gt;0,IFERROR(INDEX(Sheet1!$A$15:G$40,MATCH(LARGE((Sheet1!$A$15:$A$40="年休")*1/ROW(Sheet1!$A$15:$A$40),ROW()-14),1/ROW(Sheet1!$A$15:$A$40),0),COLUMN()),""),"")</f>
        <v/>
      </c>
      <c r="H21" s="32" t="str">
        <f t="array" ref="H21">IF(IFERROR(INDEX(Sheet1!$A$15:H$40,MATCH(LARGE((Sheet1!$A$15:$A$40="年休")*1/ROW(Sheet1!$A$15:$A$40),ROW()-14),1/ROW(Sheet1!$A$15:$A$40),0),COLUMN()),"")&lt;&gt;0,IFERROR(INDEX(Sheet1!$A$15:H$40,MATCH(LARGE((Sheet1!$A$15:$A$40="年休")*1/ROW(Sheet1!$A$15:$A$40),ROW()-14),1/ROW(Sheet1!$A$15:$A$40),0),COLUMN()),""),"")</f>
        <v/>
      </c>
      <c r="I21" s="32" t="str">
        <f t="array" ref="I21">IF(IFERROR(INDEX(Sheet1!$A$15:I$40,MATCH(LARGE((Sheet1!$A$15:$A$40="年休")*1/ROW(Sheet1!$A$15:$A$40),ROW()-14),1/ROW(Sheet1!$A$15:$A$40),0),COLUMN()),"")&lt;&gt;0,IFERROR(INDEX(Sheet1!$A$15:I$40,MATCH(LARGE((Sheet1!$A$15:$A$40="年休")*1/ROW(Sheet1!$A$15:$A$40),ROW()-14),1/ROW(Sheet1!$A$15:$A$40),0),COLUMN()),""),"")</f>
        <v/>
      </c>
      <c r="J21" s="32" t="str">
        <f t="array" ref="J21">IF(IFERROR(INDEX(Sheet1!$A$15:J$40,MATCH(LARGE((Sheet1!$A$15:$A$40="年休")*1/ROW(Sheet1!$A$15:$A$40),ROW()-14),1/ROW(Sheet1!$A$15:$A$40),0),COLUMN()),"")&lt;&gt;0,IFERROR(INDEX(Sheet1!$A$15:J$40,MATCH(LARGE((Sheet1!$A$15:$A$40="年休")*1/ROW(Sheet1!$A$15:$A$40),ROW()-14),1/ROW(Sheet1!$A$15:$A$40),0),COLUMN()),""),"")</f>
        <v/>
      </c>
    </row>
    <row r="22" spans="1:10" ht="20.25" thickTop="1" thickBot="1">
      <c r="A22" s="93"/>
      <c r="B22" s="95"/>
      <c r="C22" s="29"/>
      <c r="D22" s="32" t="str">
        <f t="array" ref="D22">IF(IFERROR(INDEX(Sheet1!$A$15:D$40,MATCH(LARGE((Sheet1!$A$15:$A$40="年休")*1/ROW(Sheet1!$A$15:$A$40),ROW()-14),1/ROW(Sheet1!$A$15:$A$40),0),COLUMN()),"")&lt;&gt;0,IFERROR(INDEX(Sheet1!$A$15:D$40,MATCH(LARGE((Sheet1!$A$15:$A$40="年休")*1/ROW(Sheet1!$A$15:$A$40),ROW()-14),1/ROW(Sheet1!$A$15:$A$40),0),COLUMN()),""),"")</f>
        <v/>
      </c>
      <c r="E22" s="32" t="str">
        <f t="array" ref="E22">IF(IFERROR(INDEX(Sheet1!$A$15:E$40,MATCH(LARGE((Sheet1!$A$15:$A$40="年休")*1/ROW(Sheet1!$A$15:$A$40),ROW()-14),1/ROW(Sheet1!$A$15:$A$40),0),COLUMN()),"")&lt;&gt;0,IFERROR(INDEX(Sheet1!$A$15:E$40,MATCH(LARGE((Sheet1!$A$15:$A$40="年休")*1/ROW(Sheet1!$A$15:$A$40),ROW()-14),1/ROW(Sheet1!$A$15:$A$40),0),COLUMN()),""),"")</f>
        <v/>
      </c>
      <c r="F22" s="32" t="str">
        <f t="array" ref="F22">IF(IFERROR(INDEX(Sheet1!$A$15:F$40,MATCH(LARGE((Sheet1!$A$15:$A$40="年休")*1/ROW(Sheet1!$A$15:$A$40),ROW()-14),1/ROW(Sheet1!$A$15:$A$40),0),COLUMN()),"")&lt;&gt;0,IFERROR(INDEX(Sheet1!$A$15:F$40,MATCH(LARGE((Sheet1!$A$15:$A$40="年休")*1/ROW(Sheet1!$A$15:$A$40),ROW()-14),1/ROW(Sheet1!$A$15:$A$40),0),COLUMN()),""),"")</f>
        <v/>
      </c>
      <c r="G22" s="32" t="str">
        <f t="array" ref="G22">IF(IFERROR(INDEX(Sheet1!$A$15:G$40,MATCH(LARGE((Sheet1!$A$15:$A$40="年休")*1/ROW(Sheet1!$A$15:$A$40),ROW()-14),1/ROW(Sheet1!$A$15:$A$40),0),COLUMN()),"")&lt;&gt;0,IFERROR(INDEX(Sheet1!$A$15:G$40,MATCH(LARGE((Sheet1!$A$15:$A$40="年休")*1/ROW(Sheet1!$A$15:$A$40),ROW()-14),1/ROW(Sheet1!$A$15:$A$40),0),COLUMN()),""),"")</f>
        <v/>
      </c>
      <c r="H22" s="32" t="str">
        <f t="array" ref="H22">IF(IFERROR(INDEX(Sheet1!$A$15:H$40,MATCH(LARGE((Sheet1!$A$15:$A$40="年休")*1/ROW(Sheet1!$A$15:$A$40),ROW()-14),1/ROW(Sheet1!$A$15:$A$40),0),COLUMN()),"")&lt;&gt;0,IFERROR(INDEX(Sheet1!$A$15:H$40,MATCH(LARGE((Sheet1!$A$15:$A$40="年休")*1/ROW(Sheet1!$A$15:$A$40),ROW()-14),1/ROW(Sheet1!$A$15:$A$40),0),COLUMN()),""),"")</f>
        <v/>
      </c>
      <c r="I22" s="32" t="str">
        <f t="array" ref="I22">IF(IFERROR(INDEX(Sheet1!$A$15:I$40,MATCH(LARGE((Sheet1!$A$15:$A$40="年休")*1/ROW(Sheet1!$A$15:$A$40),ROW()-14),1/ROW(Sheet1!$A$15:$A$40),0),COLUMN()),"")&lt;&gt;0,IFERROR(INDEX(Sheet1!$A$15:I$40,MATCH(LARGE((Sheet1!$A$15:$A$40="年休")*1/ROW(Sheet1!$A$15:$A$40),ROW()-14),1/ROW(Sheet1!$A$15:$A$40),0),COLUMN()),""),"")</f>
        <v/>
      </c>
      <c r="J22" s="32" t="str">
        <f t="array" ref="J22">IF(IFERROR(INDEX(Sheet1!$A$15:J$40,MATCH(LARGE((Sheet1!$A$15:$A$40="年休")*1/ROW(Sheet1!$A$15:$A$40),ROW()-14),1/ROW(Sheet1!$A$15:$A$40),0),COLUMN()),"")&lt;&gt;0,IFERROR(INDEX(Sheet1!$A$15:J$40,MATCH(LARGE((Sheet1!$A$15:$A$40="年休")*1/ROW(Sheet1!$A$15:$A$40),ROW()-14),1/ROW(Sheet1!$A$15:$A$40),0),COLUMN()),""),"")</f>
        <v/>
      </c>
    </row>
    <row r="23" spans="1:10" ht="20.25" thickTop="1" thickBot="1">
      <c r="C23" s="1"/>
      <c r="D23" s="32" t="str">
        <f t="array" ref="D23">IF(IFERROR(INDEX(Sheet1!$A$15:D$40,MATCH(LARGE((Sheet1!$A$15:$A$40="年休")*1/ROW(Sheet1!$A$15:$A$40),ROW()-14),1/ROW(Sheet1!$A$15:$A$40),0),COLUMN()),"")&lt;&gt;0,IFERROR(INDEX(Sheet1!$A$15:D$40,MATCH(LARGE((Sheet1!$A$15:$A$40="年休")*1/ROW(Sheet1!$A$15:$A$40),ROW()-14),1/ROW(Sheet1!$A$15:$A$40),0),COLUMN()),""),"")</f>
        <v/>
      </c>
      <c r="E23" s="32" t="str">
        <f t="array" ref="E23">IF(IFERROR(INDEX(Sheet1!$A$15:E$40,MATCH(LARGE((Sheet1!$A$15:$A$40="年休")*1/ROW(Sheet1!$A$15:$A$40),ROW()-14),1/ROW(Sheet1!$A$15:$A$40),0),COLUMN()),"")&lt;&gt;0,IFERROR(INDEX(Sheet1!$A$15:E$40,MATCH(LARGE((Sheet1!$A$15:$A$40="年休")*1/ROW(Sheet1!$A$15:$A$40),ROW()-14),1/ROW(Sheet1!$A$15:$A$40),0),COLUMN()),""),"")</f>
        <v/>
      </c>
      <c r="F23" s="32" t="str">
        <f t="array" ref="F23">IF(IFERROR(INDEX(Sheet1!$A$15:F$40,MATCH(LARGE((Sheet1!$A$15:$A$40="年休")*1/ROW(Sheet1!$A$15:$A$40),ROW()-14),1/ROW(Sheet1!$A$15:$A$40),0),COLUMN()),"")&lt;&gt;0,IFERROR(INDEX(Sheet1!$A$15:F$40,MATCH(LARGE((Sheet1!$A$15:$A$40="年休")*1/ROW(Sheet1!$A$15:$A$40),ROW()-14),1/ROW(Sheet1!$A$15:$A$40),0),COLUMN()),""),"")</f>
        <v/>
      </c>
      <c r="G23" s="32" t="str">
        <f t="array" ref="G23">IF(IFERROR(INDEX(Sheet1!$A$15:G$40,MATCH(LARGE((Sheet1!$A$15:$A$40="年休")*1/ROW(Sheet1!$A$15:$A$40),ROW()-14),1/ROW(Sheet1!$A$15:$A$40),0),COLUMN()),"")&lt;&gt;0,IFERROR(INDEX(Sheet1!$A$15:G$40,MATCH(LARGE((Sheet1!$A$15:$A$40="年休")*1/ROW(Sheet1!$A$15:$A$40),ROW()-14),1/ROW(Sheet1!$A$15:$A$40),0),COLUMN()),""),"")</f>
        <v/>
      </c>
      <c r="H23" s="32" t="str">
        <f t="array" ref="H23">IF(IFERROR(INDEX(Sheet1!$A$15:H$40,MATCH(LARGE((Sheet1!$A$15:$A$40="年休")*1/ROW(Sheet1!$A$15:$A$40),ROW()-14),1/ROW(Sheet1!$A$15:$A$40),0),COLUMN()),"")&lt;&gt;0,IFERROR(INDEX(Sheet1!$A$15:H$40,MATCH(LARGE((Sheet1!$A$15:$A$40="年休")*1/ROW(Sheet1!$A$15:$A$40),ROW()-14),1/ROW(Sheet1!$A$15:$A$40),0),COLUMN()),""),"")</f>
        <v/>
      </c>
      <c r="I23" s="32" t="str">
        <f t="array" ref="I23">IF(IFERROR(INDEX(Sheet1!$A$15:I$40,MATCH(LARGE((Sheet1!$A$15:$A$40="年休")*1/ROW(Sheet1!$A$15:$A$40),ROW()-14),1/ROW(Sheet1!$A$15:$A$40),0),COLUMN()),"")&lt;&gt;0,IFERROR(INDEX(Sheet1!$A$15:I$40,MATCH(LARGE((Sheet1!$A$15:$A$40="年休")*1/ROW(Sheet1!$A$15:$A$40),ROW()-14),1/ROW(Sheet1!$A$15:$A$40),0),COLUMN()),""),"")</f>
        <v/>
      </c>
      <c r="J23" s="32" t="str">
        <f t="array" ref="J23">IF(IFERROR(INDEX(Sheet1!$A$15:J$40,MATCH(LARGE((Sheet1!$A$15:$A$40="年休")*1/ROW(Sheet1!$A$15:$A$40),ROW()-14),1/ROW(Sheet1!$A$15:$A$40),0),COLUMN()),"")&lt;&gt;0,IFERROR(INDEX(Sheet1!$A$15:J$40,MATCH(LARGE((Sheet1!$A$15:$A$40="年休")*1/ROW(Sheet1!$A$15:$A$40),ROW()-14),1/ROW(Sheet1!$A$15:$A$40),0),COLUMN()),""),"")</f>
        <v/>
      </c>
    </row>
    <row r="24" spans="1:10" ht="20.25" thickTop="1" thickBot="1">
      <c r="D24" s="32" t="str">
        <f t="array" ref="D24">IF(IFERROR(INDEX(Sheet1!$A$15:D$40,MATCH(LARGE((Sheet1!$A$15:$A$40="年休")*1/ROW(Sheet1!$A$15:$A$40),ROW()-14),1/ROW(Sheet1!$A$15:$A$40),0),COLUMN()),"")&lt;&gt;0,IFERROR(INDEX(Sheet1!$A$15:D$40,MATCH(LARGE((Sheet1!$A$15:$A$40="年休")*1/ROW(Sheet1!$A$15:$A$40),ROW()-14),1/ROW(Sheet1!$A$15:$A$40),0),COLUMN()),""),"")</f>
        <v/>
      </c>
      <c r="E24" s="32" t="str">
        <f t="array" ref="E24">IF(IFERROR(INDEX(Sheet1!$A$15:E$40,MATCH(LARGE((Sheet1!$A$15:$A$40="年休")*1/ROW(Sheet1!$A$15:$A$40),ROW()-14),1/ROW(Sheet1!$A$15:$A$40),0),COLUMN()),"")&lt;&gt;0,IFERROR(INDEX(Sheet1!$A$15:E$40,MATCH(LARGE((Sheet1!$A$15:$A$40="年休")*1/ROW(Sheet1!$A$15:$A$40),ROW()-14),1/ROW(Sheet1!$A$15:$A$40),0),COLUMN()),""),"")</f>
        <v/>
      </c>
      <c r="F24" s="32" t="str">
        <f t="array" ref="F24">IF(IFERROR(INDEX(Sheet1!$A$15:F$40,MATCH(LARGE((Sheet1!$A$15:$A$40="年休")*1/ROW(Sheet1!$A$15:$A$40),ROW()-14),1/ROW(Sheet1!$A$15:$A$40),0),COLUMN()),"")&lt;&gt;0,IFERROR(INDEX(Sheet1!$A$15:F$40,MATCH(LARGE((Sheet1!$A$15:$A$40="年休")*1/ROW(Sheet1!$A$15:$A$40),ROW()-14),1/ROW(Sheet1!$A$15:$A$40),0),COLUMN()),""),"")</f>
        <v/>
      </c>
      <c r="G24" s="32" t="str">
        <f t="array" ref="G24">IF(IFERROR(INDEX(Sheet1!$A$15:G$40,MATCH(LARGE((Sheet1!$A$15:$A$40="年休")*1/ROW(Sheet1!$A$15:$A$40),ROW()-14),1/ROW(Sheet1!$A$15:$A$40),0),COLUMN()),"")&lt;&gt;0,IFERROR(INDEX(Sheet1!$A$15:G$40,MATCH(LARGE((Sheet1!$A$15:$A$40="年休")*1/ROW(Sheet1!$A$15:$A$40),ROW()-14),1/ROW(Sheet1!$A$15:$A$40),0),COLUMN()),""),"")</f>
        <v/>
      </c>
      <c r="H24" s="32" t="str">
        <f t="array" ref="H24">IF(IFERROR(INDEX(Sheet1!$A$15:H$40,MATCH(LARGE((Sheet1!$A$15:$A$40="年休")*1/ROW(Sheet1!$A$15:$A$40),ROW()-14),1/ROW(Sheet1!$A$15:$A$40),0),COLUMN()),"")&lt;&gt;0,IFERROR(INDEX(Sheet1!$A$15:H$40,MATCH(LARGE((Sheet1!$A$15:$A$40="年休")*1/ROW(Sheet1!$A$15:$A$40),ROW()-14),1/ROW(Sheet1!$A$15:$A$40),0),COLUMN()),""),"")</f>
        <v/>
      </c>
      <c r="I24" s="32" t="str">
        <f t="array" ref="I24">IF(IFERROR(INDEX(Sheet1!$A$15:I$40,MATCH(LARGE((Sheet1!$A$15:$A$40="年休")*1/ROW(Sheet1!$A$15:$A$40),ROW()-14),1/ROW(Sheet1!$A$15:$A$40),0),COLUMN()),"")&lt;&gt;0,IFERROR(INDEX(Sheet1!$A$15:I$40,MATCH(LARGE((Sheet1!$A$15:$A$40="年休")*1/ROW(Sheet1!$A$15:$A$40),ROW()-14),1/ROW(Sheet1!$A$15:$A$40),0),COLUMN()),""),"")</f>
        <v/>
      </c>
      <c r="J24" s="32" t="str">
        <f t="array" ref="J24">IF(IFERROR(INDEX(Sheet1!$A$15:J$40,MATCH(LARGE((Sheet1!$A$15:$A$40="年休")*1/ROW(Sheet1!$A$15:$A$40),ROW()-14),1/ROW(Sheet1!$A$15:$A$40),0),COLUMN()),"")&lt;&gt;0,IFERROR(INDEX(Sheet1!$A$15:J$40,MATCH(LARGE((Sheet1!$A$15:$A$40="年休")*1/ROW(Sheet1!$A$15:$A$40),ROW()-14),1/ROW(Sheet1!$A$15:$A$40),0),COLUMN()),""),"")</f>
        <v/>
      </c>
    </row>
    <row r="25" spans="1:10" ht="20.25" thickTop="1" thickBot="1">
      <c r="B25" s="3"/>
      <c r="D25" s="32" t="str">
        <f t="array" ref="D25">IF(IFERROR(INDEX(Sheet1!$A$15:D$40,MATCH(LARGE((Sheet1!$A$15:$A$40="年休")*1/ROW(Sheet1!$A$15:$A$40),ROW()-14),1/ROW(Sheet1!$A$15:$A$40),0),COLUMN()),"")&lt;&gt;0,IFERROR(INDEX(Sheet1!$A$15:D$40,MATCH(LARGE((Sheet1!$A$15:$A$40="年休")*1/ROW(Sheet1!$A$15:$A$40),ROW()-14),1/ROW(Sheet1!$A$15:$A$40),0),COLUMN()),""),"")</f>
        <v/>
      </c>
      <c r="E25" s="32" t="str">
        <f t="array" ref="E25">IF(IFERROR(INDEX(Sheet1!$A$15:E$40,MATCH(LARGE((Sheet1!$A$15:$A$40="年休")*1/ROW(Sheet1!$A$15:$A$40),ROW()-14),1/ROW(Sheet1!$A$15:$A$40),0),COLUMN()),"")&lt;&gt;0,IFERROR(INDEX(Sheet1!$A$15:E$40,MATCH(LARGE((Sheet1!$A$15:$A$40="年休")*1/ROW(Sheet1!$A$15:$A$40),ROW()-14),1/ROW(Sheet1!$A$15:$A$40),0),COLUMN()),""),"")</f>
        <v/>
      </c>
      <c r="F25" s="32" t="str">
        <f t="array" ref="F25">IF(IFERROR(INDEX(Sheet1!$A$15:F$40,MATCH(LARGE((Sheet1!$A$15:$A$40="年休")*1/ROW(Sheet1!$A$15:$A$40),ROW()-14),1/ROW(Sheet1!$A$15:$A$40),0),COLUMN()),"")&lt;&gt;0,IFERROR(INDEX(Sheet1!$A$15:F$40,MATCH(LARGE((Sheet1!$A$15:$A$40="年休")*1/ROW(Sheet1!$A$15:$A$40),ROW()-14),1/ROW(Sheet1!$A$15:$A$40),0),COLUMN()),""),"")</f>
        <v/>
      </c>
      <c r="G25" s="32" t="str">
        <f t="array" ref="G25">IF(IFERROR(INDEX(Sheet1!$A$15:G$40,MATCH(LARGE((Sheet1!$A$15:$A$40="年休")*1/ROW(Sheet1!$A$15:$A$40),ROW()-14),1/ROW(Sheet1!$A$15:$A$40),0),COLUMN()),"")&lt;&gt;0,IFERROR(INDEX(Sheet1!$A$15:G$40,MATCH(LARGE((Sheet1!$A$15:$A$40="年休")*1/ROW(Sheet1!$A$15:$A$40),ROW()-14),1/ROW(Sheet1!$A$15:$A$40),0),COLUMN()),""),"")</f>
        <v/>
      </c>
      <c r="H25" s="32" t="str">
        <f t="array" ref="H25">IF(IFERROR(INDEX(Sheet1!$A$15:H$40,MATCH(LARGE((Sheet1!$A$15:$A$40="年休")*1/ROW(Sheet1!$A$15:$A$40),ROW()-14),1/ROW(Sheet1!$A$15:$A$40),0),COLUMN()),"")&lt;&gt;0,IFERROR(INDEX(Sheet1!$A$15:H$40,MATCH(LARGE((Sheet1!$A$15:$A$40="年休")*1/ROW(Sheet1!$A$15:$A$40),ROW()-14),1/ROW(Sheet1!$A$15:$A$40),0),COLUMN()),""),"")</f>
        <v/>
      </c>
      <c r="I25" s="32" t="str">
        <f t="array" ref="I25">IF(IFERROR(INDEX(Sheet1!$A$15:I$40,MATCH(LARGE((Sheet1!$A$15:$A$40="年休")*1/ROW(Sheet1!$A$15:$A$40),ROW()-14),1/ROW(Sheet1!$A$15:$A$40),0),COLUMN()),"")&lt;&gt;0,IFERROR(INDEX(Sheet1!$A$15:I$40,MATCH(LARGE((Sheet1!$A$15:$A$40="年休")*1/ROW(Sheet1!$A$15:$A$40),ROW()-14),1/ROW(Sheet1!$A$15:$A$40),0),COLUMN()),""),"")</f>
        <v/>
      </c>
      <c r="J25" s="32" t="str">
        <f t="array" ref="J25">IF(IFERROR(INDEX(Sheet1!$A$15:J$40,MATCH(LARGE((Sheet1!$A$15:$A$40="年休")*1/ROW(Sheet1!$A$15:$A$40),ROW()-14),1/ROW(Sheet1!$A$15:$A$40),0),COLUMN()),"")&lt;&gt;0,IFERROR(INDEX(Sheet1!$A$15:J$40,MATCH(LARGE((Sheet1!$A$15:$A$40="年休")*1/ROW(Sheet1!$A$15:$A$40),ROW()-14),1/ROW(Sheet1!$A$15:$A$40),0),COLUMN()),""),"")</f>
        <v/>
      </c>
    </row>
    <row r="26" spans="1:10" ht="20.25" thickTop="1" thickBot="1">
      <c r="D26" s="32" t="str">
        <f t="array" ref="D26">IF(IFERROR(INDEX(Sheet1!$A$15:D$40,MATCH(LARGE((Sheet1!$A$15:$A$40="年休")*1/ROW(Sheet1!$A$15:$A$40),ROW()-14),1/ROW(Sheet1!$A$15:$A$40),0),COLUMN()),"")&lt;&gt;0,IFERROR(INDEX(Sheet1!$A$15:D$40,MATCH(LARGE((Sheet1!$A$15:$A$40="年休")*1/ROW(Sheet1!$A$15:$A$40),ROW()-14),1/ROW(Sheet1!$A$15:$A$40),0),COLUMN()),""),"")</f>
        <v/>
      </c>
      <c r="E26" s="32" t="str">
        <f t="array" ref="E26">IF(IFERROR(INDEX(Sheet1!$A$15:E$40,MATCH(LARGE((Sheet1!$A$15:$A$40="年休")*1/ROW(Sheet1!$A$15:$A$40),ROW()-14),1/ROW(Sheet1!$A$15:$A$40),0),COLUMN()),"")&lt;&gt;0,IFERROR(INDEX(Sheet1!$A$15:E$40,MATCH(LARGE((Sheet1!$A$15:$A$40="年休")*1/ROW(Sheet1!$A$15:$A$40),ROW()-14),1/ROW(Sheet1!$A$15:$A$40),0),COLUMN()),""),"")</f>
        <v/>
      </c>
      <c r="F26" s="32" t="str">
        <f t="array" ref="F26">IF(IFERROR(INDEX(Sheet1!$A$15:F$40,MATCH(LARGE((Sheet1!$A$15:$A$40="年休")*1/ROW(Sheet1!$A$15:$A$40),ROW()-14),1/ROW(Sheet1!$A$15:$A$40),0),COLUMN()),"")&lt;&gt;0,IFERROR(INDEX(Sheet1!$A$15:F$40,MATCH(LARGE((Sheet1!$A$15:$A$40="年休")*1/ROW(Sheet1!$A$15:$A$40),ROW()-14),1/ROW(Sheet1!$A$15:$A$40),0),COLUMN()),""),"")</f>
        <v/>
      </c>
      <c r="G26" s="32" t="str">
        <f t="array" ref="G26">IF(IFERROR(INDEX(Sheet1!$A$15:G$40,MATCH(LARGE((Sheet1!$A$15:$A$40="年休")*1/ROW(Sheet1!$A$15:$A$40),ROW()-14),1/ROW(Sheet1!$A$15:$A$40),0),COLUMN()),"")&lt;&gt;0,IFERROR(INDEX(Sheet1!$A$15:G$40,MATCH(LARGE((Sheet1!$A$15:$A$40="年休")*1/ROW(Sheet1!$A$15:$A$40),ROW()-14),1/ROW(Sheet1!$A$15:$A$40),0),COLUMN()),""),"")</f>
        <v/>
      </c>
      <c r="H26" s="32" t="str">
        <f t="array" ref="H26">IF(IFERROR(INDEX(Sheet1!$A$15:H$40,MATCH(LARGE((Sheet1!$A$15:$A$40="年休")*1/ROW(Sheet1!$A$15:$A$40),ROW()-14),1/ROW(Sheet1!$A$15:$A$40),0),COLUMN()),"")&lt;&gt;0,IFERROR(INDEX(Sheet1!$A$15:H$40,MATCH(LARGE((Sheet1!$A$15:$A$40="年休")*1/ROW(Sheet1!$A$15:$A$40),ROW()-14),1/ROW(Sheet1!$A$15:$A$40),0),COLUMN()),""),"")</f>
        <v/>
      </c>
      <c r="I26" s="32" t="str">
        <f t="array" ref="I26">IF(IFERROR(INDEX(Sheet1!$A$15:I$40,MATCH(LARGE((Sheet1!$A$15:$A$40="年休")*1/ROW(Sheet1!$A$15:$A$40),ROW()-14),1/ROW(Sheet1!$A$15:$A$40),0),COLUMN()),"")&lt;&gt;0,IFERROR(INDEX(Sheet1!$A$15:I$40,MATCH(LARGE((Sheet1!$A$15:$A$40="年休")*1/ROW(Sheet1!$A$15:$A$40),ROW()-14),1/ROW(Sheet1!$A$15:$A$40),0),COLUMN()),""),"")</f>
        <v/>
      </c>
      <c r="J26" s="32" t="str">
        <f t="array" ref="J26">IF(IFERROR(INDEX(Sheet1!$A$15:J$40,MATCH(LARGE((Sheet1!$A$15:$A$40="年休")*1/ROW(Sheet1!$A$15:$A$40),ROW()-14),1/ROW(Sheet1!$A$15:$A$40),0),COLUMN()),"")&lt;&gt;0,IFERROR(INDEX(Sheet1!$A$15:J$40,MATCH(LARGE((Sheet1!$A$15:$A$40="年休")*1/ROW(Sheet1!$A$15:$A$40),ROW()-14),1/ROW(Sheet1!$A$15:$A$40),0),COLUMN()),""),"")</f>
        <v/>
      </c>
    </row>
    <row r="27" spans="1:10" ht="20.25" thickTop="1" thickBot="1">
      <c r="D27" s="32" t="str">
        <f t="array" ref="D27">IF(IFERROR(INDEX(Sheet1!$A$15:D$40,MATCH(LARGE((Sheet1!$A$15:$A$40="年休")*1/ROW(Sheet1!$A$15:$A$40),ROW()-14),1/ROW(Sheet1!$A$15:$A$40),0),COLUMN()),"")&lt;&gt;0,IFERROR(INDEX(Sheet1!$A$15:D$40,MATCH(LARGE((Sheet1!$A$15:$A$40="年休")*1/ROW(Sheet1!$A$15:$A$40),ROW()-14),1/ROW(Sheet1!$A$15:$A$40),0),COLUMN()),""),"")</f>
        <v/>
      </c>
      <c r="E27" s="32" t="str">
        <f t="array" ref="E27">IF(IFERROR(INDEX(Sheet1!$A$15:E$40,MATCH(LARGE((Sheet1!$A$15:$A$40="年休")*1/ROW(Sheet1!$A$15:$A$40),ROW()-14),1/ROW(Sheet1!$A$15:$A$40),0),COLUMN()),"")&lt;&gt;0,IFERROR(INDEX(Sheet1!$A$15:E$40,MATCH(LARGE((Sheet1!$A$15:$A$40="年休")*1/ROW(Sheet1!$A$15:$A$40),ROW()-14),1/ROW(Sheet1!$A$15:$A$40),0),COLUMN()),""),"")</f>
        <v/>
      </c>
      <c r="F27" s="32" t="str">
        <f t="array" ref="F27">IF(IFERROR(INDEX(Sheet1!$A$15:F$40,MATCH(LARGE((Sheet1!$A$15:$A$40="年休")*1/ROW(Sheet1!$A$15:$A$40),ROW()-14),1/ROW(Sheet1!$A$15:$A$40),0),COLUMN()),"")&lt;&gt;0,IFERROR(INDEX(Sheet1!$A$15:F$40,MATCH(LARGE((Sheet1!$A$15:$A$40="年休")*1/ROW(Sheet1!$A$15:$A$40),ROW()-14),1/ROW(Sheet1!$A$15:$A$40),0),COLUMN()),""),"")</f>
        <v/>
      </c>
      <c r="G27" s="32" t="str">
        <f t="array" ref="G27">IF(IFERROR(INDEX(Sheet1!$A$15:G$40,MATCH(LARGE((Sheet1!$A$15:$A$40="年休")*1/ROW(Sheet1!$A$15:$A$40),ROW()-14),1/ROW(Sheet1!$A$15:$A$40),0),COLUMN()),"")&lt;&gt;0,IFERROR(INDEX(Sheet1!$A$15:G$40,MATCH(LARGE((Sheet1!$A$15:$A$40="年休")*1/ROW(Sheet1!$A$15:$A$40),ROW()-14),1/ROW(Sheet1!$A$15:$A$40),0),COLUMN()),""),"")</f>
        <v/>
      </c>
      <c r="H27" s="32" t="str">
        <f t="array" ref="H27">IF(IFERROR(INDEX(Sheet1!$A$15:H$40,MATCH(LARGE((Sheet1!$A$15:$A$40="年休")*1/ROW(Sheet1!$A$15:$A$40),ROW()-14),1/ROW(Sheet1!$A$15:$A$40),0),COLUMN()),"")&lt;&gt;0,IFERROR(INDEX(Sheet1!$A$15:H$40,MATCH(LARGE((Sheet1!$A$15:$A$40="年休")*1/ROW(Sheet1!$A$15:$A$40),ROW()-14),1/ROW(Sheet1!$A$15:$A$40),0),COLUMN()),""),"")</f>
        <v/>
      </c>
      <c r="I27" s="32" t="str">
        <f t="array" ref="I27">IF(IFERROR(INDEX(Sheet1!$A$15:I$40,MATCH(LARGE((Sheet1!$A$15:$A$40="年休")*1/ROW(Sheet1!$A$15:$A$40),ROW()-14),1/ROW(Sheet1!$A$15:$A$40),0),COLUMN()),"")&lt;&gt;0,IFERROR(INDEX(Sheet1!$A$15:I$40,MATCH(LARGE((Sheet1!$A$15:$A$40="年休")*1/ROW(Sheet1!$A$15:$A$40),ROW()-14),1/ROW(Sheet1!$A$15:$A$40),0),COLUMN()),""),"")</f>
        <v/>
      </c>
      <c r="J27" s="32" t="str">
        <f t="array" ref="J27">IF(IFERROR(INDEX(Sheet1!$A$15:J$40,MATCH(LARGE((Sheet1!$A$15:$A$40="年休")*1/ROW(Sheet1!$A$15:$A$40),ROW()-14),1/ROW(Sheet1!$A$15:$A$40),0),COLUMN()),"")&lt;&gt;0,IFERROR(INDEX(Sheet1!$A$15:J$40,MATCH(LARGE((Sheet1!$A$15:$A$40="年休")*1/ROW(Sheet1!$A$15:$A$40),ROW()-14),1/ROW(Sheet1!$A$15:$A$40),0),COLUMN()),""),"")</f>
        <v/>
      </c>
    </row>
    <row r="28" spans="1:10" ht="20.25" thickTop="1" thickBot="1">
      <c r="D28" s="32" t="str">
        <f t="array" ref="D28">IF(IFERROR(INDEX(Sheet1!$A$15:D$40,MATCH(LARGE((Sheet1!$A$15:$A$40="年休")*1/ROW(Sheet1!$A$15:$A$40),ROW()-14),1/ROW(Sheet1!$A$15:$A$40),0),COLUMN()),"")&lt;&gt;0,IFERROR(INDEX(Sheet1!$A$15:D$40,MATCH(LARGE((Sheet1!$A$15:$A$40="年休")*1/ROW(Sheet1!$A$15:$A$40),ROW()-14),1/ROW(Sheet1!$A$15:$A$40),0),COLUMN()),""),"")</f>
        <v/>
      </c>
      <c r="E28" s="32" t="str">
        <f t="array" ref="E28">IF(IFERROR(INDEX(Sheet1!$A$15:E$40,MATCH(LARGE((Sheet1!$A$15:$A$40="年休")*1/ROW(Sheet1!$A$15:$A$40),ROW()-14),1/ROW(Sheet1!$A$15:$A$40),0),COLUMN()),"")&lt;&gt;0,IFERROR(INDEX(Sheet1!$A$15:E$40,MATCH(LARGE((Sheet1!$A$15:$A$40="年休")*1/ROW(Sheet1!$A$15:$A$40),ROW()-14),1/ROW(Sheet1!$A$15:$A$40),0),COLUMN()),""),"")</f>
        <v/>
      </c>
      <c r="F28" s="32" t="str">
        <f t="array" ref="F28">IF(IFERROR(INDEX(Sheet1!$A$15:F$40,MATCH(LARGE((Sheet1!$A$15:$A$40="年休")*1/ROW(Sheet1!$A$15:$A$40),ROW()-14),1/ROW(Sheet1!$A$15:$A$40),0),COLUMN()),"")&lt;&gt;0,IFERROR(INDEX(Sheet1!$A$15:F$40,MATCH(LARGE((Sheet1!$A$15:$A$40="年休")*1/ROW(Sheet1!$A$15:$A$40),ROW()-14),1/ROW(Sheet1!$A$15:$A$40),0),COLUMN()),""),"")</f>
        <v/>
      </c>
      <c r="G28" s="32" t="str">
        <f t="array" ref="G28">IF(IFERROR(INDEX(Sheet1!$A$15:G$40,MATCH(LARGE((Sheet1!$A$15:$A$40="年休")*1/ROW(Sheet1!$A$15:$A$40),ROW()-14),1/ROW(Sheet1!$A$15:$A$40),0),COLUMN()),"")&lt;&gt;0,IFERROR(INDEX(Sheet1!$A$15:G$40,MATCH(LARGE((Sheet1!$A$15:$A$40="年休")*1/ROW(Sheet1!$A$15:$A$40),ROW()-14),1/ROW(Sheet1!$A$15:$A$40),0),COLUMN()),""),"")</f>
        <v/>
      </c>
      <c r="H28" s="32" t="str">
        <f t="array" ref="H28">IF(IFERROR(INDEX(Sheet1!$A$15:H$40,MATCH(LARGE((Sheet1!$A$15:$A$40="年休")*1/ROW(Sheet1!$A$15:$A$40),ROW()-14),1/ROW(Sheet1!$A$15:$A$40),0),COLUMN()),"")&lt;&gt;0,IFERROR(INDEX(Sheet1!$A$15:H$40,MATCH(LARGE((Sheet1!$A$15:$A$40="年休")*1/ROW(Sheet1!$A$15:$A$40),ROW()-14),1/ROW(Sheet1!$A$15:$A$40),0),COLUMN()),""),"")</f>
        <v/>
      </c>
      <c r="I28" s="32" t="str">
        <f t="array" ref="I28">IF(IFERROR(INDEX(Sheet1!$A$15:I$40,MATCH(LARGE((Sheet1!$A$15:$A$40="年休")*1/ROW(Sheet1!$A$15:$A$40),ROW()-14),1/ROW(Sheet1!$A$15:$A$40),0),COLUMN()),"")&lt;&gt;0,IFERROR(INDEX(Sheet1!$A$15:I$40,MATCH(LARGE((Sheet1!$A$15:$A$40="年休")*1/ROW(Sheet1!$A$15:$A$40),ROW()-14),1/ROW(Sheet1!$A$15:$A$40),0),COLUMN()),""),"")</f>
        <v/>
      </c>
      <c r="J28" s="32" t="str">
        <f t="array" ref="J28">IF(IFERROR(INDEX(Sheet1!$A$15:J$40,MATCH(LARGE((Sheet1!$A$15:$A$40="年休")*1/ROW(Sheet1!$A$15:$A$40),ROW()-14),1/ROW(Sheet1!$A$15:$A$40),0),COLUMN()),"")&lt;&gt;0,IFERROR(INDEX(Sheet1!$A$15:J$40,MATCH(LARGE((Sheet1!$A$15:$A$40="年休")*1/ROW(Sheet1!$A$15:$A$40),ROW()-14),1/ROW(Sheet1!$A$15:$A$40),0),COLUMN()),""),"")</f>
        <v/>
      </c>
    </row>
    <row r="29" spans="1:10" ht="20.25" thickTop="1" thickBot="1">
      <c r="D29" s="32" t="str">
        <f t="array" ref="D29">IF(IFERROR(INDEX(Sheet1!$A$15:D$40,MATCH(LARGE((Sheet1!$A$15:$A$40="年休")*1/ROW(Sheet1!$A$15:$A$40),ROW()-14),1/ROW(Sheet1!$A$15:$A$40),0),COLUMN()),"")&lt;&gt;0,IFERROR(INDEX(Sheet1!$A$15:D$40,MATCH(LARGE((Sheet1!$A$15:$A$40="年休")*1/ROW(Sheet1!$A$15:$A$40),ROW()-14),1/ROW(Sheet1!$A$15:$A$40),0),COLUMN()),""),"")</f>
        <v/>
      </c>
      <c r="E29" s="32" t="str">
        <f t="array" ref="E29">IF(IFERROR(INDEX(Sheet1!$A$15:E$40,MATCH(LARGE((Sheet1!$A$15:$A$40="年休")*1/ROW(Sheet1!$A$15:$A$40),ROW()-14),1/ROW(Sheet1!$A$15:$A$40),0),COLUMN()),"")&lt;&gt;0,IFERROR(INDEX(Sheet1!$A$15:E$40,MATCH(LARGE((Sheet1!$A$15:$A$40="年休")*1/ROW(Sheet1!$A$15:$A$40),ROW()-14),1/ROW(Sheet1!$A$15:$A$40),0),COLUMN()),""),"")</f>
        <v/>
      </c>
      <c r="F29" s="32" t="str">
        <f t="array" ref="F29">IF(IFERROR(INDEX(Sheet1!$A$15:F$40,MATCH(LARGE((Sheet1!$A$15:$A$40="年休")*1/ROW(Sheet1!$A$15:$A$40),ROW()-14),1/ROW(Sheet1!$A$15:$A$40),0),COLUMN()),"")&lt;&gt;0,IFERROR(INDEX(Sheet1!$A$15:F$40,MATCH(LARGE((Sheet1!$A$15:$A$40="年休")*1/ROW(Sheet1!$A$15:$A$40),ROW()-14),1/ROW(Sheet1!$A$15:$A$40),0),COLUMN()),""),"")</f>
        <v/>
      </c>
      <c r="G29" s="32" t="str">
        <f t="array" ref="G29">IF(IFERROR(INDEX(Sheet1!$A$15:G$40,MATCH(LARGE((Sheet1!$A$15:$A$40="年休")*1/ROW(Sheet1!$A$15:$A$40),ROW()-14),1/ROW(Sheet1!$A$15:$A$40),0),COLUMN()),"")&lt;&gt;0,IFERROR(INDEX(Sheet1!$A$15:G$40,MATCH(LARGE((Sheet1!$A$15:$A$40="年休")*1/ROW(Sheet1!$A$15:$A$40),ROW()-14),1/ROW(Sheet1!$A$15:$A$40),0),COLUMN()),""),"")</f>
        <v/>
      </c>
      <c r="H29" s="32" t="str">
        <f t="array" ref="H29">IF(IFERROR(INDEX(Sheet1!$A$15:H$40,MATCH(LARGE((Sheet1!$A$15:$A$40="年休")*1/ROW(Sheet1!$A$15:$A$40),ROW()-14),1/ROW(Sheet1!$A$15:$A$40),0),COLUMN()),"")&lt;&gt;0,IFERROR(INDEX(Sheet1!$A$15:H$40,MATCH(LARGE((Sheet1!$A$15:$A$40="年休")*1/ROW(Sheet1!$A$15:$A$40),ROW()-14),1/ROW(Sheet1!$A$15:$A$40),0),COLUMN()),""),"")</f>
        <v/>
      </c>
      <c r="I29" s="32" t="str">
        <f t="array" ref="I29">IF(IFERROR(INDEX(Sheet1!$A$15:I$40,MATCH(LARGE((Sheet1!$A$15:$A$40="年休")*1/ROW(Sheet1!$A$15:$A$40),ROW()-14),1/ROW(Sheet1!$A$15:$A$40),0),COLUMN()),"")&lt;&gt;0,IFERROR(INDEX(Sheet1!$A$15:I$40,MATCH(LARGE((Sheet1!$A$15:$A$40="年休")*1/ROW(Sheet1!$A$15:$A$40),ROW()-14),1/ROW(Sheet1!$A$15:$A$40),0),COLUMN()),""),"")</f>
        <v/>
      </c>
      <c r="J29" s="32" t="str">
        <f t="array" ref="J29">IF(IFERROR(INDEX(Sheet1!$A$15:J$40,MATCH(LARGE((Sheet1!$A$15:$A$40="年休")*1/ROW(Sheet1!$A$15:$A$40),ROW()-14),1/ROW(Sheet1!$A$15:$A$40),0),COLUMN()),"")&lt;&gt;0,IFERROR(INDEX(Sheet1!$A$15:J$40,MATCH(LARGE((Sheet1!$A$15:$A$40="年休")*1/ROW(Sheet1!$A$15:$A$40),ROW()-14),1/ROW(Sheet1!$A$15:$A$40),0),COLUMN()),""),"")</f>
        <v/>
      </c>
    </row>
    <row r="30" spans="1:10" ht="20.25" thickTop="1" thickBot="1">
      <c r="D30" s="32" t="str">
        <f t="array" ref="D30">IF(IFERROR(INDEX(Sheet1!$A$15:D$40,MATCH(LARGE((Sheet1!$A$15:$A$40="年休")*1/ROW(Sheet1!$A$15:$A$40),ROW()-14),1/ROW(Sheet1!$A$15:$A$40),0),COLUMN()),"")&lt;&gt;0,IFERROR(INDEX(Sheet1!$A$15:D$40,MATCH(LARGE((Sheet1!$A$15:$A$40="年休")*1/ROW(Sheet1!$A$15:$A$40),ROW()-14),1/ROW(Sheet1!$A$15:$A$40),0),COLUMN()),""),"")</f>
        <v/>
      </c>
      <c r="E30" s="32" t="str">
        <f t="array" ref="E30">IF(IFERROR(INDEX(Sheet1!$A$15:E$40,MATCH(LARGE((Sheet1!$A$15:$A$40="年休")*1/ROW(Sheet1!$A$15:$A$40),ROW()-14),1/ROW(Sheet1!$A$15:$A$40),0),COLUMN()),"")&lt;&gt;0,IFERROR(INDEX(Sheet1!$A$15:E$40,MATCH(LARGE((Sheet1!$A$15:$A$40="年休")*1/ROW(Sheet1!$A$15:$A$40),ROW()-14),1/ROW(Sheet1!$A$15:$A$40),0),COLUMN()),""),"")</f>
        <v/>
      </c>
      <c r="F30" s="32" t="str">
        <f t="array" ref="F30">IF(IFERROR(INDEX(Sheet1!$A$15:F$40,MATCH(LARGE((Sheet1!$A$15:$A$40="年休")*1/ROW(Sheet1!$A$15:$A$40),ROW()-14),1/ROW(Sheet1!$A$15:$A$40),0),COLUMN()),"")&lt;&gt;0,IFERROR(INDEX(Sheet1!$A$15:F$40,MATCH(LARGE((Sheet1!$A$15:$A$40="年休")*1/ROW(Sheet1!$A$15:$A$40),ROW()-14),1/ROW(Sheet1!$A$15:$A$40),0),COLUMN()),""),"")</f>
        <v/>
      </c>
      <c r="G30" s="32" t="str">
        <f t="array" ref="G30">IF(IFERROR(INDEX(Sheet1!$A$15:G$40,MATCH(LARGE((Sheet1!$A$15:$A$40="年休")*1/ROW(Sheet1!$A$15:$A$40),ROW()-14),1/ROW(Sheet1!$A$15:$A$40),0),COLUMN()),"")&lt;&gt;0,IFERROR(INDEX(Sheet1!$A$15:G$40,MATCH(LARGE((Sheet1!$A$15:$A$40="年休")*1/ROW(Sheet1!$A$15:$A$40),ROW()-14),1/ROW(Sheet1!$A$15:$A$40),0),COLUMN()),""),"")</f>
        <v/>
      </c>
      <c r="H30" s="32" t="str">
        <f t="array" ref="H30">IF(IFERROR(INDEX(Sheet1!$A$15:H$40,MATCH(LARGE((Sheet1!$A$15:$A$40="年休")*1/ROW(Sheet1!$A$15:$A$40),ROW()-14),1/ROW(Sheet1!$A$15:$A$40),0),COLUMN()),"")&lt;&gt;0,IFERROR(INDEX(Sheet1!$A$15:H$40,MATCH(LARGE((Sheet1!$A$15:$A$40="年休")*1/ROW(Sheet1!$A$15:$A$40),ROW()-14),1/ROW(Sheet1!$A$15:$A$40),0),COLUMN()),""),"")</f>
        <v/>
      </c>
      <c r="I30" s="32" t="str">
        <f t="array" ref="I30">IF(IFERROR(INDEX(Sheet1!$A$15:I$40,MATCH(LARGE((Sheet1!$A$15:$A$40="年休")*1/ROW(Sheet1!$A$15:$A$40),ROW()-14),1/ROW(Sheet1!$A$15:$A$40),0),COLUMN()),"")&lt;&gt;0,IFERROR(INDEX(Sheet1!$A$15:I$40,MATCH(LARGE((Sheet1!$A$15:$A$40="年休")*1/ROW(Sheet1!$A$15:$A$40),ROW()-14),1/ROW(Sheet1!$A$15:$A$40),0),COLUMN()),""),"")</f>
        <v/>
      </c>
      <c r="J30" s="32" t="str">
        <f t="array" ref="J30">IF(IFERROR(INDEX(Sheet1!$A$15:J$40,MATCH(LARGE((Sheet1!$A$15:$A$40="年休")*1/ROW(Sheet1!$A$15:$A$40),ROW()-14),1/ROW(Sheet1!$A$15:$A$40),0),COLUMN()),"")&lt;&gt;0,IFERROR(INDEX(Sheet1!$A$15:J$40,MATCH(LARGE((Sheet1!$A$15:$A$40="年休")*1/ROW(Sheet1!$A$15:$A$40),ROW()-14),1/ROW(Sheet1!$A$15:$A$40),0),COLUMN()),""),"")</f>
        <v/>
      </c>
    </row>
    <row r="31" spans="1:10" ht="20.25" thickTop="1" thickBot="1">
      <c r="D31" s="32" t="str">
        <f t="array" ref="D31">IF(IFERROR(INDEX(Sheet1!$A$15:D$40,MATCH(LARGE((Sheet1!$A$15:$A$40="年休")*1/ROW(Sheet1!$A$15:$A$40),ROW()-14),1/ROW(Sheet1!$A$15:$A$40),0),COLUMN()),"")&lt;&gt;0,IFERROR(INDEX(Sheet1!$A$15:D$40,MATCH(LARGE((Sheet1!$A$15:$A$40="年休")*1/ROW(Sheet1!$A$15:$A$40),ROW()-14),1/ROW(Sheet1!$A$15:$A$40),0),COLUMN()),""),"")</f>
        <v/>
      </c>
      <c r="E31" s="32" t="str">
        <f t="array" ref="E31">IF(IFERROR(INDEX(Sheet1!$A$15:E$40,MATCH(LARGE((Sheet1!$A$15:$A$40="年休")*1/ROW(Sheet1!$A$15:$A$40),ROW()-14),1/ROW(Sheet1!$A$15:$A$40),0),COLUMN()),"")&lt;&gt;0,IFERROR(INDEX(Sheet1!$A$15:E$40,MATCH(LARGE((Sheet1!$A$15:$A$40="年休")*1/ROW(Sheet1!$A$15:$A$40),ROW()-14),1/ROW(Sheet1!$A$15:$A$40),0),COLUMN()),""),"")</f>
        <v/>
      </c>
      <c r="F31" s="32" t="str">
        <f t="array" ref="F31">IF(IFERROR(INDEX(Sheet1!$A$15:F$40,MATCH(LARGE((Sheet1!$A$15:$A$40="年休")*1/ROW(Sheet1!$A$15:$A$40),ROW()-14),1/ROW(Sheet1!$A$15:$A$40),0),COLUMN()),"")&lt;&gt;0,IFERROR(INDEX(Sheet1!$A$15:F$40,MATCH(LARGE((Sheet1!$A$15:$A$40="年休")*1/ROW(Sheet1!$A$15:$A$40),ROW()-14),1/ROW(Sheet1!$A$15:$A$40),0),COLUMN()),""),"")</f>
        <v/>
      </c>
      <c r="G31" s="32" t="str">
        <f t="array" ref="G31">IF(IFERROR(INDEX(Sheet1!$A$15:G$40,MATCH(LARGE((Sheet1!$A$15:$A$40="年休")*1/ROW(Sheet1!$A$15:$A$40),ROW()-14),1/ROW(Sheet1!$A$15:$A$40),0),COLUMN()),"")&lt;&gt;0,IFERROR(INDEX(Sheet1!$A$15:G$40,MATCH(LARGE((Sheet1!$A$15:$A$40="年休")*1/ROW(Sheet1!$A$15:$A$40),ROW()-14),1/ROW(Sheet1!$A$15:$A$40),0),COLUMN()),""),"")</f>
        <v/>
      </c>
      <c r="H31" s="32" t="str">
        <f t="array" ref="H31">IF(IFERROR(INDEX(Sheet1!$A$15:H$40,MATCH(LARGE((Sheet1!$A$15:$A$40="年休")*1/ROW(Sheet1!$A$15:$A$40),ROW()-14),1/ROW(Sheet1!$A$15:$A$40),0),COLUMN()),"")&lt;&gt;0,IFERROR(INDEX(Sheet1!$A$15:H$40,MATCH(LARGE((Sheet1!$A$15:$A$40="年休")*1/ROW(Sheet1!$A$15:$A$40),ROW()-14),1/ROW(Sheet1!$A$15:$A$40),0),COLUMN()),""),"")</f>
        <v/>
      </c>
      <c r="I31" s="32" t="str">
        <f t="array" ref="I31">IF(IFERROR(INDEX(Sheet1!$A$15:I$40,MATCH(LARGE((Sheet1!$A$15:$A$40="年休")*1/ROW(Sheet1!$A$15:$A$40),ROW()-14),1/ROW(Sheet1!$A$15:$A$40),0),COLUMN()),"")&lt;&gt;0,IFERROR(INDEX(Sheet1!$A$15:I$40,MATCH(LARGE((Sheet1!$A$15:$A$40="年休")*1/ROW(Sheet1!$A$15:$A$40),ROW()-14),1/ROW(Sheet1!$A$15:$A$40),0),COLUMN()),""),"")</f>
        <v/>
      </c>
      <c r="J31" s="32" t="str">
        <f t="array" ref="J31">IF(IFERROR(INDEX(Sheet1!$A$15:J$40,MATCH(LARGE((Sheet1!$A$15:$A$40="年休")*1/ROW(Sheet1!$A$15:$A$40),ROW()-14),1/ROW(Sheet1!$A$15:$A$40),0),COLUMN()),"")&lt;&gt;0,IFERROR(INDEX(Sheet1!$A$15:J$40,MATCH(LARGE((Sheet1!$A$15:$A$40="年休")*1/ROW(Sheet1!$A$15:$A$40),ROW()-14),1/ROW(Sheet1!$A$15:$A$40),0),COLUMN()),""),"")</f>
        <v/>
      </c>
    </row>
    <row r="32" spans="1:10" ht="20.25" thickTop="1" thickBot="1">
      <c r="D32" s="32" t="str">
        <f t="array" ref="D32">IF(IFERROR(INDEX(Sheet1!$A$15:D$40,MATCH(LARGE((Sheet1!$A$15:$A$40="年休")*1/ROW(Sheet1!$A$15:$A$40),ROW()-14),1/ROW(Sheet1!$A$15:$A$40),0),COLUMN()),"")&lt;&gt;0,IFERROR(INDEX(Sheet1!$A$15:D$40,MATCH(LARGE((Sheet1!$A$15:$A$40="年休")*1/ROW(Sheet1!$A$15:$A$40),ROW()-14),1/ROW(Sheet1!$A$15:$A$40),0),COLUMN()),""),"")</f>
        <v/>
      </c>
      <c r="E32" s="32" t="str">
        <f t="array" ref="E32">IF(IFERROR(INDEX(Sheet1!$A$15:E$40,MATCH(LARGE((Sheet1!$A$15:$A$40="年休")*1/ROW(Sheet1!$A$15:$A$40),ROW()-14),1/ROW(Sheet1!$A$15:$A$40),0),COLUMN()),"")&lt;&gt;0,IFERROR(INDEX(Sheet1!$A$15:E$40,MATCH(LARGE((Sheet1!$A$15:$A$40="年休")*1/ROW(Sheet1!$A$15:$A$40),ROW()-14),1/ROW(Sheet1!$A$15:$A$40),0),COLUMN()),""),"")</f>
        <v/>
      </c>
      <c r="F32" s="32" t="str">
        <f t="array" ref="F32">IF(IFERROR(INDEX(Sheet1!$A$15:F$40,MATCH(LARGE((Sheet1!$A$15:$A$40="年休")*1/ROW(Sheet1!$A$15:$A$40),ROW()-14),1/ROW(Sheet1!$A$15:$A$40),0),COLUMN()),"")&lt;&gt;0,IFERROR(INDEX(Sheet1!$A$15:F$40,MATCH(LARGE((Sheet1!$A$15:$A$40="年休")*1/ROW(Sheet1!$A$15:$A$40),ROW()-14),1/ROW(Sheet1!$A$15:$A$40),0),COLUMN()),""),"")</f>
        <v/>
      </c>
      <c r="G32" s="32" t="str">
        <f t="array" ref="G32">IF(IFERROR(INDEX(Sheet1!$A$15:G$40,MATCH(LARGE((Sheet1!$A$15:$A$40="年休")*1/ROW(Sheet1!$A$15:$A$40),ROW()-14),1/ROW(Sheet1!$A$15:$A$40),0),COLUMN()),"")&lt;&gt;0,IFERROR(INDEX(Sheet1!$A$15:G$40,MATCH(LARGE((Sheet1!$A$15:$A$40="年休")*1/ROW(Sheet1!$A$15:$A$40),ROW()-14),1/ROW(Sheet1!$A$15:$A$40),0),COLUMN()),""),"")</f>
        <v/>
      </c>
      <c r="H32" s="32" t="str">
        <f t="array" ref="H32">IF(IFERROR(INDEX(Sheet1!$A$15:H$40,MATCH(LARGE((Sheet1!$A$15:$A$40="年休")*1/ROW(Sheet1!$A$15:$A$40),ROW()-14),1/ROW(Sheet1!$A$15:$A$40),0),COLUMN()),"")&lt;&gt;0,IFERROR(INDEX(Sheet1!$A$15:H$40,MATCH(LARGE((Sheet1!$A$15:$A$40="年休")*1/ROW(Sheet1!$A$15:$A$40),ROW()-14),1/ROW(Sheet1!$A$15:$A$40),0),COLUMN()),""),"")</f>
        <v/>
      </c>
      <c r="I32" s="32" t="str">
        <f t="array" ref="I32">IF(IFERROR(INDEX(Sheet1!$A$15:I$40,MATCH(LARGE((Sheet1!$A$15:$A$40="年休")*1/ROW(Sheet1!$A$15:$A$40),ROW()-14),1/ROW(Sheet1!$A$15:$A$40),0),COLUMN()),"")&lt;&gt;0,IFERROR(INDEX(Sheet1!$A$15:I$40,MATCH(LARGE((Sheet1!$A$15:$A$40="年休")*1/ROW(Sheet1!$A$15:$A$40),ROW()-14),1/ROW(Sheet1!$A$15:$A$40),0),COLUMN()),""),"")</f>
        <v/>
      </c>
      <c r="J32" s="32" t="str">
        <f t="array" ref="J32">IF(IFERROR(INDEX(Sheet1!$A$15:J$40,MATCH(LARGE((Sheet1!$A$15:$A$40="年休")*1/ROW(Sheet1!$A$15:$A$40),ROW()-14),1/ROW(Sheet1!$A$15:$A$40),0),COLUMN()),"")&lt;&gt;0,IFERROR(INDEX(Sheet1!$A$15:J$40,MATCH(LARGE((Sheet1!$A$15:$A$40="年休")*1/ROW(Sheet1!$A$15:$A$40),ROW()-14),1/ROW(Sheet1!$A$15:$A$40),0),COLUMN()),""),"")</f>
        <v/>
      </c>
    </row>
    <row r="33" spans="1:10" ht="20.25" thickTop="1" thickBot="1">
      <c r="D33" s="32" t="str">
        <f t="array" ref="D33">IF(IFERROR(INDEX(Sheet1!$A$15:D$40,MATCH(LARGE((Sheet1!$A$15:$A$40="年休")*1/ROW(Sheet1!$A$15:$A$40),ROW()-14),1/ROW(Sheet1!$A$15:$A$40),0),COLUMN()),"")&lt;&gt;0,IFERROR(INDEX(Sheet1!$A$15:D$40,MATCH(LARGE((Sheet1!$A$15:$A$40="年休")*1/ROW(Sheet1!$A$15:$A$40),ROW()-14),1/ROW(Sheet1!$A$15:$A$40),0),COLUMN()),""),"")</f>
        <v/>
      </c>
      <c r="E33" s="32" t="str">
        <f t="array" ref="E33">IF(IFERROR(INDEX(Sheet1!$A$15:E$40,MATCH(LARGE((Sheet1!$A$15:$A$40="年休")*1/ROW(Sheet1!$A$15:$A$40),ROW()-14),1/ROW(Sheet1!$A$15:$A$40),0),COLUMN()),"")&lt;&gt;0,IFERROR(INDEX(Sheet1!$A$15:E$40,MATCH(LARGE((Sheet1!$A$15:$A$40="年休")*1/ROW(Sheet1!$A$15:$A$40),ROW()-14),1/ROW(Sheet1!$A$15:$A$40),0),COLUMN()),""),"")</f>
        <v/>
      </c>
      <c r="F33" s="32" t="str">
        <f t="array" ref="F33">IF(IFERROR(INDEX(Sheet1!$A$15:F$40,MATCH(LARGE((Sheet1!$A$15:$A$40="年休")*1/ROW(Sheet1!$A$15:$A$40),ROW()-14),1/ROW(Sheet1!$A$15:$A$40),0),COLUMN()),"")&lt;&gt;0,IFERROR(INDEX(Sheet1!$A$15:F$40,MATCH(LARGE((Sheet1!$A$15:$A$40="年休")*1/ROW(Sheet1!$A$15:$A$40),ROW()-14),1/ROW(Sheet1!$A$15:$A$40),0),COLUMN()),""),"")</f>
        <v/>
      </c>
      <c r="G33" s="32" t="str">
        <f t="array" ref="G33">IF(IFERROR(INDEX(Sheet1!$A$15:G$40,MATCH(LARGE((Sheet1!$A$15:$A$40="年休")*1/ROW(Sheet1!$A$15:$A$40),ROW()-14),1/ROW(Sheet1!$A$15:$A$40),0),COLUMN()),"")&lt;&gt;0,IFERROR(INDEX(Sheet1!$A$15:G$40,MATCH(LARGE((Sheet1!$A$15:$A$40="年休")*1/ROW(Sheet1!$A$15:$A$40),ROW()-14),1/ROW(Sheet1!$A$15:$A$40),0),COLUMN()),""),"")</f>
        <v/>
      </c>
      <c r="H33" s="32" t="str">
        <f t="array" ref="H33">IF(IFERROR(INDEX(Sheet1!$A$15:H$40,MATCH(LARGE((Sheet1!$A$15:$A$40="年休")*1/ROW(Sheet1!$A$15:$A$40),ROW()-14),1/ROW(Sheet1!$A$15:$A$40),0),COLUMN()),"")&lt;&gt;0,IFERROR(INDEX(Sheet1!$A$15:H$40,MATCH(LARGE((Sheet1!$A$15:$A$40="年休")*1/ROW(Sheet1!$A$15:$A$40),ROW()-14),1/ROW(Sheet1!$A$15:$A$40),0),COLUMN()),""),"")</f>
        <v/>
      </c>
      <c r="I33" s="32" t="str">
        <f t="array" ref="I33">IF(IFERROR(INDEX(Sheet1!$A$15:I$40,MATCH(LARGE((Sheet1!$A$15:$A$40="年休")*1/ROW(Sheet1!$A$15:$A$40),ROW()-14),1/ROW(Sheet1!$A$15:$A$40),0),COLUMN()),"")&lt;&gt;0,IFERROR(INDEX(Sheet1!$A$15:I$40,MATCH(LARGE((Sheet1!$A$15:$A$40="年休")*1/ROW(Sheet1!$A$15:$A$40),ROW()-14),1/ROW(Sheet1!$A$15:$A$40),0),COLUMN()),""),"")</f>
        <v/>
      </c>
      <c r="J33" s="32" t="str">
        <f t="array" ref="J33">IF(IFERROR(INDEX(Sheet1!$A$15:J$40,MATCH(LARGE((Sheet1!$A$15:$A$40="年休")*1/ROW(Sheet1!$A$15:$A$40),ROW()-14),1/ROW(Sheet1!$A$15:$A$40),0),COLUMN()),"")&lt;&gt;0,IFERROR(INDEX(Sheet1!$A$15:J$40,MATCH(LARGE((Sheet1!$A$15:$A$40="年休")*1/ROW(Sheet1!$A$15:$A$40),ROW()-14),1/ROW(Sheet1!$A$15:$A$40),0),COLUMN()),""),"")</f>
        <v/>
      </c>
    </row>
    <row r="34" spans="1:10" ht="20.25" thickTop="1" thickBot="1">
      <c r="D34" s="32" t="str">
        <f t="array" ref="D34">IF(IFERROR(INDEX(Sheet1!$A$15:D$40,MATCH(LARGE((Sheet1!$A$15:$A$40="年休")*1/ROW(Sheet1!$A$15:$A$40),ROW()-14),1/ROW(Sheet1!$A$15:$A$40),0),COLUMN()),"")&lt;&gt;0,IFERROR(INDEX(Sheet1!$A$15:D$40,MATCH(LARGE((Sheet1!$A$15:$A$40="年休")*1/ROW(Sheet1!$A$15:$A$40),ROW()-14),1/ROW(Sheet1!$A$15:$A$40),0),COLUMN()),""),"")</f>
        <v/>
      </c>
      <c r="E34" s="32" t="str">
        <f t="array" ref="E34">IF(IFERROR(INDEX(Sheet1!$A$15:E$40,MATCH(LARGE((Sheet1!$A$15:$A$40="年休")*1/ROW(Sheet1!$A$15:$A$40),ROW()-14),1/ROW(Sheet1!$A$15:$A$40),0),COLUMN()),"")&lt;&gt;0,IFERROR(INDEX(Sheet1!$A$15:E$40,MATCH(LARGE((Sheet1!$A$15:$A$40="年休")*1/ROW(Sheet1!$A$15:$A$40),ROW()-14),1/ROW(Sheet1!$A$15:$A$40),0),COLUMN()),""),"")</f>
        <v/>
      </c>
      <c r="F34" s="32" t="str">
        <f t="array" ref="F34">IF(IFERROR(INDEX(Sheet1!$A$15:F$40,MATCH(LARGE((Sheet1!$A$15:$A$40="年休")*1/ROW(Sheet1!$A$15:$A$40),ROW()-14),1/ROW(Sheet1!$A$15:$A$40),0),COLUMN()),"")&lt;&gt;0,IFERROR(INDEX(Sheet1!$A$15:F$40,MATCH(LARGE((Sheet1!$A$15:$A$40="年休")*1/ROW(Sheet1!$A$15:$A$40),ROW()-14),1/ROW(Sheet1!$A$15:$A$40),0),COLUMN()),""),"")</f>
        <v/>
      </c>
      <c r="G34" s="32" t="str">
        <f t="array" ref="G34">IF(IFERROR(INDEX(Sheet1!$A$15:G$40,MATCH(LARGE((Sheet1!$A$15:$A$40="年休")*1/ROW(Sheet1!$A$15:$A$40),ROW()-14),1/ROW(Sheet1!$A$15:$A$40),0),COLUMN()),"")&lt;&gt;0,IFERROR(INDEX(Sheet1!$A$15:G$40,MATCH(LARGE((Sheet1!$A$15:$A$40="年休")*1/ROW(Sheet1!$A$15:$A$40),ROW()-14),1/ROW(Sheet1!$A$15:$A$40),0),COLUMN()),""),"")</f>
        <v/>
      </c>
      <c r="H34" s="32" t="str">
        <f t="array" ref="H34">IF(IFERROR(INDEX(Sheet1!$A$15:H$40,MATCH(LARGE((Sheet1!$A$15:$A$40="年休")*1/ROW(Sheet1!$A$15:$A$40),ROW()-14),1/ROW(Sheet1!$A$15:$A$40),0),COLUMN()),"")&lt;&gt;0,IFERROR(INDEX(Sheet1!$A$15:H$40,MATCH(LARGE((Sheet1!$A$15:$A$40="年休")*1/ROW(Sheet1!$A$15:$A$40),ROW()-14),1/ROW(Sheet1!$A$15:$A$40),0),COLUMN()),""),"")</f>
        <v/>
      </c>
      <c r="I34" s="32" t="str">
        <f t="array" ref="I34">IF(IFERROR(INDEX(Sheet1!$A$15:I$40,MATCH(LARGE((Sheet1!$A$15:$A$40="年休")*1/ROW(Sheet1!$A$15:$A$40),ROW()-14),1/ROW(Sheet1!$A$15:$A$40),0),COLUMN()),"")&lt;&gt;0,IFERROR(INDEX(Sheet1!$A$15:I$40,MATCH(LARGE((Sheet1!$A$15:$A$40="年休")*1/ROW(Sheet1!$A$15:$A$40),ROW()-14),1/ROW(Sheet1!$A$15:$A$40),0),COLUMN()),""),"")</f>
        <v/>
      </c>
      <c r="J34" s="32" t="str">
        <f t="array" ref="J34">IF(IFERROR(INDEX(Sheet1!$A$15:J$40,MATCH(LARGE((Sheet1!$A$15:$A$40="年休")*1/ROW(Sheet1!$A$15:$A$40),ROW()-14),1/ROW(Sheet1!$A$15:$A$40),0),COLUMN()),"")&lt;&gt;0,IFERROR(INDEX(Sheet1!$A$15:J$40,MATCH(LARGE((Sheet1!$A$15:$A$40="年休")*1/ROW(Sheet1!$A$15:$A$40),ROW()-14),1/ROW(Sheet1!$A$15:$A$40),0),COLUMN()),""),"")</f>
        <v/>
      </c>
    </row>
    <row r="35" spans="1:10" ht="20.25" thickTop="1" thickBot="1">
      <c r="D35" s="32" t="str">
        <f t="array" ref="D35">IF(IFERROR(INDEX(Sheet1!$A$15:D$40,MATCH(LARGE((Sheet1!$A$15:$A$40="年休")*1/ROW(Sheet1!$A$15:$A$40),ROW()-14),1/ROW(Sheet1!$A$15:$A$40),0),COLUMN()),"")&lt;&gt;0,IFERROR(INDEX(Sheet1!$A$15:D$40,MATCH(LARGE((Sheet1!$A$15:$A$40="年休")*1/ROW(Sheet1!$A$15:$A$40),ROW()-14),1/ROW(Sheet1!$A$15:$A$40),0),COLUMN()),""),"")</f>
        <v/>
      </c>
      <c r="E35" s="32" t="str">
        <f t="array" ref="E35">IF(IFERROR(INDEX(Sheet1!$A$15:E$40,MATCH(LARGE((Sheet1!$A$15:$A$40="年休")*1/ROW(Sheet1!$A$15:$A$40),ROW()-14),1/ROW(Sheet1!$A$15:$A$40),0),COLUMN()),"")&lt;&gt;0,IFERROR(INDEX(Sheet1!$A$15:E$40,MATCH(LARGE((Sheet1!$A$15:$A$40="年休")*1/ROW(Sheet1!$A$15:$A$40),ROW()-14),1/ROW(Sheet1!$A$15:$A$40),0),COLUMN()),""),"")</f>
        <v/>
      </c>
      <c r="F35" s="32" t="str">
        <f t="array" ref="F35">IF(IFERROR(INDEX(Sheet1!$A$15:F$40,MATCH(LARGE((Sheet1!$A$15:$A$40="年休")*1/ROW(Sheet1!$A$15:$A$40),ROW()-14),1/ROW(Sheet1!$A$15:$A$40),0),COLUMN()),"")&lt;&gt;0,IFERROR(INDEX(Sheet1!$A$15:F$40,MATCH(LARGE((Sheet1!$A$15:$A$40="年休")*1/ROW(Sheet1!$A$15:$A$40),ROW()-14),1/ROW(Sheet1!$A$15:$A$40),0),COLUMN()),""),"")</f>
        <v/>
      </c>
      <c r="G35" s="32" t="str">
        <f t="array" ref="G35">IF(IFERROR(INDEX(Sheet1!$A$15:G$40,MATCH(LARGE((Sheet1!$A$15:$A$40="年休")*1/ROW(Sheet1!$A$15:$A$40),ROW()-14),1/ROW(Sheet1!$A$15:$A$40),0),COLUMN()),"")&lt;&gt;0,IFERROR(INDEX(Sheet1!$A$15:G$40,MATCH(LARGE((Sheet1!$A$15:$A$40="年休")*1/ROW(Sheet1!$A$15:$A$40),ROW()-14),1/ROW(Sheet1!$A$15:$A$40),0),COLUMN()),""),"")</f>
        <v/>
      </c>
      <c r="H35" s="32" t="str">
        <f t="array" ref="H35">IF(IFERROR(INDEX(Sheet1!$A$15:H$40,MATCH(LARGE((Sheet1!$A$15:$A$40="年休")*1/ROW(Sheet1!$A$15:$A$40),ROW()-14),1/ROW(Sheet1!$A$15:$A$40),0),COLUMN()),"")&lt;&gt;0,IFERROR(INDEX(Sheet1!$A$15:H$40,MATCH(LARGE((Sheet1!$A$15:$A$40="年休")*1/ROW(Sheet1!$A$15:$A$40),ROW()-14),1/ROW(Sheet1!$A$15:$A$40),0),COLUMN()),""),"")</f>
        <v/>
      </c>
      <c r="I35" s="32" t="str">
        <f t="array" ref="I35">IF(IFERROR(INDEX(Sheet1!$A$15:I$40,MATCH(LARGE((Sheet1!$A$15:$A$40="年休")*1/ROW(Sheet1!$A$15:$A$40),ROW()-14),1/ROW(Sheet1!$A$15:$A$40),0),COLUMN()),"")&lt;&gt;0,IFERROR(INDEX(Sheet1!$A$15:I$40,MATCH(LARGE((Sheet1!$A$15:$A$40="年休")*1/ROW(Sheet1!$A$15:$A$40),ROW()-14),1/ROW(Sheet1!$A$15:$A$40),0),COLUMN()),""),"")</f>
        <v/>
      </c>
      <c r="J35" s="32" t="str">
        <f t="array" ref="J35">IF(IFERROR(INDEX(Sheet1!$A$15:J$40,MATCH(LARGE((Sheet1!$A$15:$A$40="年休")*1/ROW(Sheet1!$A$15:$A$40),ROW()-14),1/ROW(Sheet1!$A$15:$A$40),0),COLUMN()),"")&lt;&gt;0,IFERROR(INDEX(Sheet1!$A$15:J$40,MATCH(LARGE((Sheet1!$A$15:$A$40="年休")*1/ROW(Sheet1!$A$15:$A$40),ROW()-14),1/ROW(Sheet1!$A$15:$A$40),0),COLUMN()),""),"")</f>
        <v/>
      </c>
    </row>
    <row r="36" spans="1:10" ht="20.25" thickTop="1" thickBot="1">
      <c r="D36" s="32" t="str">
        <f t="array" ref="D36">IF(IFERROR(INDEX(Sheet1!$A$15:D$40,MATCH(LARGE((Sheet1!$A$15:$A$40="年休")*1/ROW(Sheet1!$A$15:$A$40),ROW()-14),1/ROW(Sheet1!$A$15:$A$40),0),COLUMN()),"")&lt;&gt;0,IFERROR(INDEX(Sheet1!$A$15:D$40,MATCH(LARGE((Sheet1!$A$15:$A$40="年休")*1/ROW(Sheet1!$A$15:$A$40),ROW()-14),1/ROW(Sheet1!$A$15:$A$40),0),COLUMN()),""),"")</f>
        <v/>
      </c>
      <c r="E36" s="32" t="str">
        <f t="array" ref="E36">IF(IFERROR(INDEX(Sheet1!$A$15:E$40,MATCH(LARGE((Sheet1!$A$15:$A$40="年休")*1/ROW(Sheet1!$A$15:$A$40),ROW()-14),1/ROW(Sheet1!$A$15:$A$40),0),COLUMN()),"")&lt;&gt;0,IFERROR(INDEX(Sheet1!$A$15:E$40,MATCH(LARGE((Sheet1!$A$15:$A$40="年休")*1/ROW(Sheet1!$A$15:$A$40),ROW()-14),1/ROW(Sheet1!$A$15:$A$40),0),COLUMN()),""),"")</f>
        <v/>
      </c>
      <c r="F36" s="32" t="str">
        <f t="array" ref="F36">IF(IFERROR(INDEX(Sheet1!$A$15:F$40,MATCH(LARGE((Sheet1!$A$15:$A$40="年休")*1/ROW(Sheet1!$A$15:$A$40),ROW()-14),1/ROW(Sheet1!$A$15:$A$40),0),COLUMN()),"")&lt;&gt;0,IFERROR(INDEX(Sheet1!$A$15:F$40,MATCH(LARGE((Sheet1!$A$15:$A$40="年休")*1/ROW(Sheet1!$A$15:$A$40),ROW()-14),1/ROW(Sheet1!$A$15:$A$40),0),COLUMN()),""),"")</f>
        <v/>
      </c>
      <c r="G36" s="32" t="str">
        <f t="array" ref="G36">IF(IFERROR(INDEX(Sheet1!$A$15:G$40,MATCH(LARGE((Sheet1!$A$15:$A$40="年休")*1/ROW(Sheet1!$A$15:$A$40),ROW()-14),1/ROW(Sheet1!$A$15:$A$40),0),COLUMN()),"")&lt;&gt;0,IFERROR(INDEX(Sheet1!$A$15:G$40,MATCH(LARGE((Sheet1!$A$15:$A$40="年休")*1/ROW(Sheet1!$A$15:$A$40),ROW()-14),1/ROW(Sheet1!$A$15:$A$40),0),COLUMN()),""),"")</f>
        <v/>
      </c>
      <c r="H36" s="32" t="str">
        <f t="array" ref="H36">IF(IFERROR(INDEX(Sheet1!$A$15:H$40,MATCH(LARGE((Sheet1!$A$15:$A$40="年休")*1/ROW(Sheet1!$A$15:$A$40),ROW()-14),1/ROW(Sheet1!$A$15:$A$40),0),COLUMN()),"")&lt;&gt;0,IFERROR(INDEX(Sheet1!$A$15:H$40,MATCH(LARGE((Sheet1!$A$15:$A$40="年休")*1/ROW(Sheet1!$A$15:$A$40),ROW()-14),1/ROW(Sheet1!$A$15:$A$40),0),COLUMN()),""),"")</f>
        <v/>
      </c>
      <c r="I36" s="32" t="str">
        <f t="array" ref="I36">IF(IFERROR(INDEX(Sheet1!$A$15:I$40,MATCH(LARGE((Sheet1!$A$15:$A$40="年休")*1/ROW(Sheet1!$A$15:$A$40),ROW()-14),1/ROW(Sheet1!$A$15:$A$40),0),COLUMN()),"")&lt;&gt;0,IFERROR(INDEX(Sheet1!$A$15:I$40,MATCH(LARGE((Sheet1!$A$15:$A$40="年休")*1/ROW(Sheet1!$A$15:$A$40),ROW()-14),1/ROW(Sheet1!$A$15:$A$40),0),COLUMN()),""),"")</f>
        <v/>
      </c>
      <c r="J36" s="32" t="str">
        <f t="array" ref="J36">IF(IFERROR(INDEX(Sheet1!$A$15:J$40,MATCH(LARGE((Sheet1!$A$15:$A$40="年休")*1/ROW(Sheet1!$A$15:$A$40),ROW()-14),1/ROW(Sheet1!$A$15:$A$40),0),COLUMN()),"")&lt;&gt;0,IFERROR(INDEX(Sheet1!$A$15:J$40,MATCH(LARGE((Sheet1!$A$15:$A$40="年休")*1/ROW(Sheet1!$A$15:$A$40),ROW()-14),1/ROW(Sheet1!$A$15:$A$40),0),COLUMN()),""),"")</f>
        <v/>
      </c>
    </row>
    <row r="37" spans="1:10" ht="20.25" thickTop="1" thickBot="1">
      <c r="D37" s="32" t="str">
        <f t="array" ref="D37">IF(IFERROR(INDEX(Sheet1!$A$15:D$40,MATCH(LARGE((Sheet1!$A$15:$A$40="年休")*1/ROW(Sheet1!$A$15:$A$40),ROW()-14),1/ROW(Sheet1!$A$15:$A$40),0),COLUMN()),"")&lt;&gt;0,IFERROR(INDEX(Sheet1!$A$15:D$40,MATCH(LARGE((Sheet1!$A$15:$A$40="年休")*1/ROW(Sheet1!$A$15:$A$40),ROW()-14),1/ROW(Sheet1!$A$15:$A$40),0),COLUMN()),""),"")</f>
        <v/>
      </c>
      <c r="E37" s="32" t="str">
        <f t="array" ref="E37">IF(IFERROR(INDEX(Sheet1!$A$15:E$40,MATCH(LARGE((Sheet1!$A$15:$A$40="年休")*1/ROW(Sheet1!$A$15:$A$40),ROW()-14),1/ROW(Sheet1!$A$15:$A$40),0),COLUMN()),"")&lt;&gt;0,IFERROR(INDEX(Sheet1!$A$15:E$40,MATCH(LARGE((Sheet1!$A$15:$A$40="年休")*1/ROW(Sheet1!$A$15:$A$40),ROW()-14),1/ROW(Sheet1!$A$15:$A$40),0),COLUMN()),""),"")</f>
        <v/>
      </c>
      <c r="F37" s="32" t="str">
        <f t="array" ref="F37">IF(IFERROR(INDEX(Sheet1!$A$15:F$40,MATCH(LARGE((Sheet1!$A$15:$A$40="年休")*1/ROW(Sheet1!$A$15:$A$40),ROW()-14),1/ROW(Sheet1!$A$15:$A$40),0),COLUMN()),"")&lt;&gt;0,IFERROR(INDEX(Sheet1!$A$15:F$40,MATCH(LARGE((Sheet1!$A$15:$A$40="年休")*1/ROW(Sheet1!$A$15:$A$40),ROW()-14),1/ROW(Sheet1!$A$15:$A$40),0),COLUMN()),""),"")</f>
        <v/>
      </c>
      <c r="G37" s="32" t="str">
        <f t="array" ref="G37">IF(IFERROR(INDEX(Sheet1!$A$15:G$40,MATCH(LARGE((Sheet1!$A$15:$A$40="年休")*1/ROW(Sheet1!$A$15:$A$40),ROW()-14),1/ROW(Sheet1!$A$15:$A$40),0),COLUMN()),"")&lt;&gt;0,IFERROR(INDEX(Sheet1!$A$15:G$40,MATCH(LARGE((Sheet1!$A$15:$A$40="年休")*1/ROW(Sheet1!$A$15:$A$40),ROW()-14),1/ROW(Sheet1!$A$15:$A$40),0),COLUMN()),""),"")</f>
        <v/>
      </c>
      <c r="H37" s="32" t="str">
        <f t="array" ref="H37">IF(IFERROR(INDEX(Sheet1!$A$15:H$40,MATCH(LARGE((Sheet1!$A$15:$A$40="年休")*1/ROW(Sheet1!$A$15:$A$40),ROW()-14),1/ROW(Sheet1!$A$15:$A$40),0),COLUMN()),"")&lt;&gt;0,IFERROR(INDEX(Sheet1!$A$15:H$40,MATCH(LARGE((Sheet1!$A$15:$A$40="年休")*1/ROW(Sheet1!$A$15:$A$40),ROW()-14),1/ROW(Sheet1!$A$15:$A$40),0),COLUMN()),""),"")</f>
        <v/>
      </c>
      <c r="I37" s="32" t="str">
        <f t="array" ref="I37">IF(IFERROR(INDEX(Sheet1!$A$15:I$40,MATCH(LARGE((Sheet1!$A$15:$A$40="年休")*1/ROW(Sheet1!$A$15:$A$40),ROW()-14),1/ROW(Sheet1!$A$15:$A$40),0),COLUMN()),"")&lt;&gt;0,IFERROR(INDEX(Sheet1!$A$15:I$40,MATCH(LARGE((Sheet1!$A$15:$A$40="年休")*1/ROW(Sheet1!$A$15:$A$40),ROW()-14),1/ROW(Sheet1!$A$15:$A$40),0),COLUMN()),""),"")</f>
        <v/>
      </c>
      <c r="J37" s="32" t="str">
        <f t="array" ref="J37">IF(IFERROR(INDEX(Sheet1!$A$15:J$40,MATCH(LARGE((Sheet1!$A$15:$A$40="年休")*1/ROW(Sheet1!$A$15:$A$40),ROW()-14),1/ROW(Sheet1!$A$15:$A$40),0),COLUMN()),"")&lt;&gt;0,IFERROR(INDEX(Sheet1!$A$15:J$40,MATCH(LARGE((Sheet1!$A$15:$A$40="年休")*1/ROW(Sheet1!$A$15:$A$40),ROW()-14),1/ROW(Sheet1!$A$15:$A$40),0),COLUMN()),""),"")</f>
        <v/>
      </c>
    </row>
    <row r="38" spans="1:10" ht="20.25" thickTop="1" thickBot="1">
      <c r="A38" s="136"/>
      <c r="D38" s="32" t="str">
        <f t="array" ref="D38">IF(IFERROR(INDEX(Sheet1!$A$15:D$40,MATCH(LARGE((Sheet1!$A$15:$A$40="年休")*1/ROW(Sheet1!$A$15:$A$40),ROW()-14),1/ROW(Sheet1!$A$15:$A$40),0),COLUMN()),"")&lt;&gt;0,IFERROR(INDEX(Sheet1!$A$15:D$40,MATCH(LARGE((Sheet1!$A$15:$A$40="年休")*1/ROW(Sheet1!$A$15:$A$40),ROW()-14),1/ROW(Sheet1!$A$15:$A$40),0),COLUMN()),""),"")</f>
        <v/>
      </c>
      <c r="E38" s="32" t="str">
        <f t="array" ref="E38">IF(IFERROR(INDEX(Sheet1!$A$15:E$40,MATCH(LARGE((Sheet1!$A$15:$A$40="年休")*1/ROW(Sheet1!$A$15:$A$40),ROW()-14),1/ROW(Sheet1!$A$15:$A$40),0),COLUMN()),"")&lt;&gt;0,IFERROR(INDEX(Sheet1!$A$15:E$40,MATCH(LARGE((Sheet1!$A$15:$A$40="年休")*1/ROW(Sheet1!$A$15:$A$40),ROW()-14),1/ROW(Sheet1!$A$15:$A$40),0),COLUMN()),""),"")</f>
        <v/>
      </c>
      <c r="F38" s="32" t="str">
        <f t="array" ref="F38">IF(IFERROR(INDEX(Sheet1!$A$15:F$40,MATCH(LARGE((Sheet1!$A$15:$A$40="年休")*1/ROW(Sheet1!$A$15:$A$40),ROW()-14),1/ROW(Sheet1!$A$15:$A$40),0),COLUMN()),"")&lt;&gt;0,IFERROR(INDEX(Sheet1!$A$15:F$40,MATCH(LARGE((Sheet1!$A$15:$A$40="年休")*1/ROW(Sheet1!$A$15:$A$40),ROW()-14),1/ROW(Sheet1!$A$15:$A$40),0),COLUMN()),""),"")</f>
        <v/>
      </c>
      <c r="G38" s="32" t="str">
        <f t="array" ref="G38">IF(IFERROR(INDEX(Sheet1!$A$15:G$40,MATCH(LARGE((Sheet1!$A$15:$A$40="年休")*1/ROW(Sheet1!$A$15:$A$40),ROW()-14),1/ROW(Sheet1!$A$15:$A$40),0),COLUMN()),"")&lt;&gt;0,IFERROR(INDEX(Sheet1!$A$15:G$40,MATCH(LARGE((Sheet1!$A$15:$A$40="年休")*1/ROW(Sheet1!$A$15:$A$40),ROW()-14),1/ROW(Sheet1!$A$15:$A$40),0),COLUMN()),""),"")</f>
        <v/>
      </c>
      <c r="H38" s="32" t="str">
        <f t="array" ref="H38">IF(IFERROR(INDEX(Sheet1!$A$15:H$40,MATCH(LARGE((Sheet1!$A$15:$A$40="年休")*1/ROW(Sheet1!$A$15:$A$40),ROW()-14),1/ROW(Sheet1!$A$15:$A$40),0),COLUMN()),"")&lt;&gt;0,IFERROR(INDEX(Sheet1!$A$15:H$40,MATCH(LARGE((Sheet1!$A$15:$A$40="年休")*1/ROW(Sheet1!$A$15:$A$40),ROW()-14),1/ROW(Sheet1!$A$15:$A$40),0),COLUMN()),""),"")</f>
        <v/>
      </c>
      <c r="I38" s="32" t="str">
        <f t="array" ref="I38">IF(IFERROR(INDEX(Sheet1!$A$15:I$40,MATCH(LARGE((Sheet1!$A$15:$A$40="年休")*1/ROW(Sheet1!$A$15:$A$40),ROW()-14),1/ROW(Sheet1!$A$15:$A$40),0),COLUMN()),"")&lt;&gt;0,IFERROR(INDEX(Sheet1!$A$15:I$40,MATCH(LARGE((Sheet1!$A$15:$A$40="年休")*1/ROW(Sheet1!$A$15:$A$40),ROW()-14),1/ROW(Sheet1!$A$15:$A$40),0),COLUMN()),""),"")</f>
        <v/>
      </c>
      <c r="J38" s="32" t="str">
        <f t="array" ref="J38">IF(IFERROR(INDEX(Sheet1!$A$15:J$40,MATCH(LARGE((Sheet1!$A$15:$A$40="年休")*1/ROW(Sheet1!$A$15:$A$40),ROW()-14),1/ROW(Sheet1!$A$15:$A$40),0),COLUMN()),"")&lt;&gt;0,IFERROR(INDEX(Sheet1!$A$15:J$40,MATCH(LARGE((Sheet1!$A$15:$A$40="年休")*1/ROW(Sheet1!$A$15:$A$40),ROW()-14),1/ROW(Sheet1!$A$15:$A$40),0),COLUMN()),""),"")</f>
        <v/>
      </c>
    </row>
    <row r="39" spans="1:10" ht="19.5" thickTop="1">
      <c r="A39" s="1"/>
      <c r="B39" s="138"/>
      <c r="C39" s="1"/>
      <c r="D39" s="24" t="str">
        <f t="array" ref="D39">IFERROR(INDEX(Sheet1!$A$15:$D$40,MATCH(LARGE((Sheet1!$A$15:$A$40="年休")*1/ROW(Sheet1!$A$15:$A$40),ROW()-14),1/ROW(Sheet1!$A$15:$A$40),0),4),"")</f>
        <v/>
      </c>
    </row>
    <row r="40" spans="1:10">
      <c r="B40" s="1"/>
      <c r="D40" s="24" t="str">
        <f t="array" ref="D40">IFERROR(INDEX(Sheet1!$A$15:$D$40,MATCH(LARGE((Sheet1!$A$15:$A$40="年休")*1/ROW(Sheet1!$A$15:$A$40),ROW()-14),1/ROW(Sheet1!$A$15:$A$40),0),4),"")</f>
        <v/>
      </c>
    </row>
    <row r="41" spans="1:10">
      <c r="B41" s="1"/>
      <c r="D41" s="1"/>
    </row>
    <row r="42" spans="1:10">
      <c r="C42" s="1"/>
      <c r="D42" s="1"/>
    </row>
    <row r="43" spans="1:10">
      <c r="C43" s="1"/>
      <c r="E43" s="1"/>
    </row>
  </sheetData>
  <mergeCells count="14">
    <mergeCell ref="A13:B13"/>
    <mergeCell ref="A14:B14"/>
    <mergeCell ref="A7:A11"/>
    <mergeCell ref="B8:B9"/>
    <mergeCell ref="C8:C9"/>
    <mergeCell ref="B10:B11"/>
    <mergeCell ref="C10:C11"/>
    <mergeCell ref="A12:B12"/>
    <mergeCell ref="A1:B1"/>
    <mergeCell ref="A2:A6"/>
    <mergeCell ref="B3:B4"/>
    <mergeCell ref="C3:C4"/>
    <mergeCell ref="B5:B6"/>
    <mergeCell ref="C5:C6"/>
  </mergeCells>
  <phoneticPr fontId="1"/>
  <dataValidations disablePrompts="1" count="3">
    <dataValidation type="list" allowBlank="1" promptTitle="注意" prompt="ロングの場合は_x000a_プルダウンから選択" sqref="D6:J6" xr:uid="{098FD51B-4626-4FF3-A768-5A3CF6504434}">
      <formula1>$P$5</formula1>
    </dataValidation>
    <dataValidation type="list" allowBlank="1" promptTitle="注意" prompt="ロングの場合は_x000a_プルダウンから選択" sqref="D10:I11" xr:uid="{4C106CBB-0F29-447F-8EB5-F3DB9CC9F78E}">
      <formula1>$P$10</formula1>
    </dataValidation>
    <dataValidation type="list" allowBlank="1" promptTitle="注意" prompt="ロングの場合は_x000a_プルダウンから選択" sqref="D5:J5" xr:uid="{E86CAC52-4158-49EC-9207-5537AA6F138A}">
      <formula1>$N$4</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8CC067-9194-4C82-9B0F-EFFCADEA0E30}">
  <sheetPr codeName="Sheet4"/>
  <dimension ref="A1:AJ103"/>
  <sheetViews>
    <sheetView workbookViewId="0">
      <selection activeCell="D7" sqref="D7"/>
    </sheetView>
  </sheetViews>
  <sheetFormatPr defaultRowHeight="18.75"/>
  <cols>
    <col min="3" max="3" width="9.125" customWidth="1"/>
    <col min="4" max="6" width="9" customWidth="1"/>
    <col min="7" max="7" width="9.375" customWidth="1"/>
    <col min="8" max="17" width="9" customWidth="1"/>
    <col min="19" max="31" width="9" customWidth="1"/>
    <col min="33" max="33" width="9" hidden="1" customWidth="1"/>
    <col min="36" max="36" width="0" hidden="1" customWidth="1"/>
  </cols>
  <sheetData>
    <row r="1" spans="1:36">
      <c r="A1" t="s">
        <v>106</v>
      </c>
      <c r="B1" t="s">
        <v>107</v>
      </c>
      <c r="E1" s="125" t="s">
        <v>109</v>
      </c>
      <c r="F1" s="125"/>
      <c r="G1" s="125"/>
      <c r="H1" s="125"/>
      <c r="I1" s="125"/>
      <c r="J1" s="125"/>
      <c r="K1" s="125"/>
      <c r="L1" s="125"/>
      <c r="M1" s="125"/>
      <c r="N1" s="125"/>
      <c r="O1" s="125"/>
      <c r="P1" s="125"/>
      <c r="Q1" s="125"/>
      <c r="R1" s="125"/>
    </row>
    <row r="2" spans="1:36">
      <c r="A2">
        <f>ROW()-1</f>
        <v>1</v>
      </c>
      <c r="B2" s="96" t="s">
        <v>88</v>
      </c>
      <c r="E2" s="163" t="str">
        <f>TEXT(Sheet1!D1,"aaaaa")</f>
        <v>月曜日</v>
      </c>
      <c r="F2" s="163"/>
      <c r="G2" s="163" t="str">
        <f>TEXT(Sheet1!E1,"aaaaa")</f>
        <v>火曜日</v>
      </c>
      <c r="H2" s="163"/>
      <c r="I2" s="163" t="str">
        <f>TEXT(Sheet1!F1,"aaaaa")</f>
        <v>水曜日</v>
      </c>
      <c r="J2" s="163"/>
      <c r="K2" s="163" t="str">
        <f>TEXT(Sheet1!G1,"aaaaa")</f>
        <v>木曜日</v>
      </c>
      <c r="L2" s="163"/>
      <c r="M2" s="163" t="str">
        <f>TEXT(Sheet1!H1,"aaaaa")</f>
        <v>金曜日</v>
      </c>
      <c r="N2" s="163"/>
      <c r="O2" s="163" t="str">
        <f>TEXT(Sheet1!I1,"aaaaa")</f>
        <v>土曜日</v>
      </c>
      <c r="P2" s="163"/>
      <c r="Q2" s="163" t="str">
        <f>TEXT(Sheet1!J1,"aaaaa")</f>
        <v>日曜日</v>
      </c>
      <c r="R2" s="163"/>
      <c r="AG2">
        <f ca="1">RAND()</f>
        <v>0.90382870707190588</v>
      </c>
      <c r="AH2">
        <f ca="1">RANK(AG2,AG:AG)</f>
        <v>4</v>
      </c>
      <c r="AI2" t="str">
        <f t="shared" ref="AI2:AI12" ca="1" si="0">VLOOKUP(AH2,$A$2:$B$29,2)</f>
        <v>北原</v>
      </c>
      <c r="AJ2">
        <f t="shared" ref="AJ2:AJ9" ca="1" si="1">IFERROR(INDEX( $A$2:$B$100, MATCH( AI2,$B$2:$B$100, ),1),"")</f>
        <v>4</v>
      </c>
    </row>
    <row r="3" spans="1:36">
      <c r="A3">
        <f t="shared" ref="A3:A66" si="2">ROW()-1</f>
        <v>2</v>
      </c>
      <c r="B3" s="96" t="s">
        <v>87</v>
      </c>
      <c r="E3" t="s">
        <v>108</v>
      </c>
      <c r="F3" t="s">
        <v>106</v>
      </c>
      <c r="G3" t="s">
        <v>108</v>
      </c>
      <c r="H3" t="s">
        <v>106</v>
      </c>
      <c r="I3" t="s">
        <v>108</v>
      </c>
      <c r="J3" t="s">
        <v>106</v>
      </c>
      <c r="K3" t="s">
        <v>108</v>
      </c>
      <c r="L3" t="s">
        <v>106</v>
      </c>
      <c r="M3" t="s">
        <v>108</v>
      </c>
      <c r="N3" t="s">
        <v>106</v>
      </c>
      <c r="O3" t="s">
        <v>108</v>
      </c>
      <c r="P3" t="s">
        <v>106</v>
      </c>
      <c r="Q3" t="s">
        <v>108</v>
      </c>
      <c r="R3" t="s">
        <v>106</v>
      </c>
      <c r="AG3">
        <f t="shared" ref="AG3:AG25" ca="1" si="3">RAND()</f>
        <v>0.60903202375838328</v>
      </c>
      <c r="AH3">
        <f t="shared" ref="AH3:AH25" ca="1" si="4">RANK(AG3,AG:AG)</f>
        <v>12</v>
      </c>
      <c r="AI3" t="str">
        <f t="shared" ca="1" si="0"/>
        <v>長沼</v>
      </c>
      <c r="AJ3">
        <f t="shared" ca="1" si="1"/>
        <v>12</v>
      </c>
    </row>
    <row r="4" spans="1:36">
      <c r="A4">
        <f t="shared" si="2"/>
        <v>3</v>
      </c>
      <c r="B4" s="96" t="s">
        <v>86</v>
      </c>
      <c r="E4" t="str">
        <f>データ処理部!D15</f>
        <v/>
      </c>
      <c r="F4" t="str">
        <f t="shared" ref="F4:F27" si="5">IFERROR(INDEX( $A$2:$B$9999, MATCH( E4,$B$2:$B$9999, ),1),"")</f>
        <v/>
      </c>
      <c r="G4" t="str">
        <f>データ処理部!E15</f>
        <v/>
      </c>
      <c r="H4" t="str">
        <f t="shared" ref="H4:H27" si="6">IFERROR(INDEX( $A$2:$B$9999, MATCH( G4,$B$2:$B$9999, ),1),"")</f>
        <v/>
      </c>
      <c r="I4" t="str">
        <f>データ処理部!F15</f>
        <v/>
      </c>
      <c r="J4" t="str">
        <f>IFERROR(INDEX( $A$2:$B$9999, MATCH( I4,$B$2:$B$9999, ),1),"")</f>
        <v/>
      </c>
      <c r="K4" t="str">
        <f>データ処理部!G15</f>
        <v/>
      </c>
      <c r="L4" t="str">
        <f>IFERROR(INDEX( $A$2:$B$9999, MATCH( K4,$B$2:$B$9999, ),1),"")</f>
        <v/>
      </c>
      <c r="M4" t="str">
        <f>データ処理部!H15</f>
        <v/>
      </c>
      <c r="N4" t="str">
        <f>IFERROR(INDEX( $A$2:$B$9999, MATCH( M4,$B$2:$B$9999, ),1),"")</f>
        <v/>
      </c>
      <c r="O4" t="str">
        <f>データ処理部!I15</f>
        <v/>
      </c>
      <c r="P4" t="str">
        <f>IFERROR(INDEX( $A$2:$B$9999, MATCH( O4,$B$2:$B$9999, ),1),"")</f>
        <v/>
      </c>
      <c r="Q4" t="str">
        <f>データ処理部!J15</f>
        <v/>
      </c>
      <c r="R4" t="str">
        <f>IFERROR(INDEX( $A$2:$B$9999, MATCH( Q4,$B$2:$B$9999, ),1),"")</f>
        <v/>
      </c>
      <c r="AG4">
        <f t="shared" ca="1" si="3"/>
        <v>0.15147746244897808</v>
      </c>
      <c r="AH4">
        <f t="shared" ca="1" si="4"/>
        <v>22</v>
      </c>
      <c r="AI4">
        <f t="shared" ca="1" si="0"/>
        <v>0</v>
      </c>
      <c r="AJ4" t="str">
        <f t="shared" ca="1" si="1"/>
        <v/>
      </c>
    </row>
    <row r="5" spans="1:36">
      <c r="A5">
        <f t="shared" si="2"/>
        <v>4</v>
      </c>
      <c r="B5" s="96" t="s">
        <v>85</v>
      </c>
      <c r="E5" t="str">
        <f>データ処理部!D16</f>
        <v/>
      </c>
      <c r="F5" t="str">
        <f t="shared" si="5"/>
        <v/>
      </c>
      <c r="G5" t="str">
        <f>データ処理部!E16</f>
        <v/>
      </c>
      <c r="H5" t="str">
        <f t="shared" si="6"/>
        <v/>
      </c>
      <c r="I5" t="str">
        <f>データ処理部!F16</f>
        <v/>
      </c>
      <c r="J5" t="str">
        <f t="shared" ref="J5:J27" si="7">IFERROR(INDEX( $A$2:$B$9999, MATCH( I5,$B$2:$B$9999, ),1),"")</f>
        <v/>
      </c>
      <c r="K5" t="str">
        <f>データ処理部!G16</f>
        <v/>
      </c>
      <c r="L5" t="str">
        <f t="shared" ref="L5:L27" si="8">IFERROR(INDEX( $A$2:$B$9999, MATCH( K5,$B$2:$B$9999, ),1),"")</f>
        <v/>
      </c>
      <c r="M5" t="str">
        <f>データ処理部!H16</f>
        <v/>
      </c>
      <c r="N5" t="str">
        <f t="shared" ref="N5:N27" si="9">IFERROR(INDEX( $A$2:$B$9999, MATCH( M5,$B$2:$B$9999, ),1),"")</f>
        <v/>
      </c>
      <c r="O5" t="str">
        <f>データ処理部!I16</f>
        <v/>
      </c>
      <c r="P5" t="str">
        <f t="shared" ref="P5:P27" si="10">IFERROR(INDEX( $A$2:$B$9999, MATCH( O5,$B$2:$B$9999, ),1),"")</f>
        <v/>
      </c>
      <c r="Q5" t="str">
        <f>データ処理部!J16</f>
        <v/>
      </c>
      <c r="R5" t="str">
        <f t="shared" ref="R5:R27" si="11">IFERROR(INDEX( $A$2:$B$9999, MATCH( Q5,$B$2:$B$9999, ),1),"")</f>
        <v/>
      </c>
      <c r="AG5">
        <f t="shared" ca="1" si="3"/>
        <v>0.63052517374875183</v>
      </c>
      <c r="AH5">
        <f t="shared" ca="1" si="4"/>
        <v>11</v>
      </c>
      <c r="AI5" t="str">
        <f t="shared" ca="1" si="0"/>
        <v>河崎</v>
      </c>
      <c r="AJ5">
        <f ca="1">IFERROR(INDEX( $A$2:$B$100, MATCH( AI5,$B$2:$B$100, ),1),"")</f>
        <v>11</v>
      </c>
    </row>
    <row r="6" spans="1:36">
      <c r="A6">
        <f t="shared" si="2"/>
        <v>5</v>
      </c>
      <c r="B6" s="96" t="s">
        <v>84</v>
      </c>
      <c r="E6" t="str">
        <f>データ処理部!D17</f>
        <v/>
      </c>
      <c r="F6" t="str">
        <f t="shared" si="5"/>
        <v/>
      </c>
      <c r="G6" t="str">
        <f>データ処理部!E17</f>
        <v/>
      </c>
      <c r="H6" t="str">
        <f t="shared" si="6"/>
        <v/>
      </c>
      <c r="I6" t="str">
        <f>データ処理部!F17</f>
        <v/>
      </c>
      <c r="J6" t="str">
        <f t="shared" si="7"/>
        <v/>
      </c>
      <c r="K6" t="str">
        <f>データ処理部!G17</f>
        <v/>
      </c>
      <c r="L6" t="str">
        <f t="shared" si="8"/>
        <v/>
      </c>
      <c r="M6" t="str">
        <f>データ処理部!H17</f>
        <v/>
      </c>
      <c r="N6" t="str">
        <f t="shared" si="9"/>
        <v/>
      </c>
      <c r="O6" t="str">
        <f>データ処理部!I17</f>
        <v/>
      </c>
      <c r="P6" t="str">
        <f t="shared" si="10"/>
        <v/>
      </c>
      <c r="Q6" t="str">
        <f>データ処理部!J17</f>
        <v/>
      </c>
      <c r="R6" t="str">
        <f t="shared" si="11"/>
        <v/>
      </c>
      <c r="AG6">
        <f t="shared" ca="1" si="3"/>
        <v>0.81136170789344797</v>
      </c>
      <c r="AH6">
        <f t="shared" ca="1" si="4"/>
        <v>5</v>
      </c>
      <c r="AI6" t="str">
        <f t="shared" ca="1" si="0"/>
        <v>二瓶</v>
      </c>
      <c r="AJ6">
        <f t="shared" ca="1" si="1"/>
        <v>5</v>
      </c>
    </row>
    <row r="7" spans="1:36">
      <c r="A7">
        <f t="shared" si="2"/>
        <v>6</v>
      </c>
      <c r="B7" s="96" t="s">
        <v>83</v>
      </c>
      <c r="E7" t="str">
        <f>データ処理部!D18</f>
        <v/>
      </c>
      <c r="F7" t="str">
        <f t="shared" si="5"/>
        <v/>
      </c>
      <c r="G7" t="str">
        <f>データ処理部!E18</f>
        <v/>
      </c>
      <c r="H7" t="str">
        <f t="shared" si="6"/>
        <v/>
      </c>
      <c r="I7" t="str">
        <f>データ処理部!F18</f>
        <v/>
      </c>
      <c r="J7" t="str">
        <f t="shared" si="7"/>
        <v/>
      </c>
      <c r="K7" t="str">
        <f>データ処理部!G18</f>
        <v/>
      </c>
      <c r="L7" t="str">
        <f t="shared" si="8"/>
        <v/>
      </c>
      <c r="M7" t="str">
        <f>データ処理部!H18</f>
        <v/>
      </c>
      <c r="N7" t="str">
        <f t="shared" si="9"/>
        <v/>
      </c>
      <c r="O7" t="str">
        <f>データ処理部!I18</f>
        <v/>
      </c>
      <c r="P7" t="str">
        <f t="shared" si="10"/>
        <v/>
      </c>
      <c r="Q7" t="str">
        <f>データ処理部!J18</f>
        <v/>
      </c>
      <c r="R7" t="str">
        <f t="shared" si="11"/>
        <v/>
      </c>
      <c r="AG7">
        <f t="shared" ca="1" si="3"/>
        <v>0.90746135955848117</v>
      </c>
      <c r="AH7">
        <f t="shared" ca="1" si="4"/>
        <v>3</v>
      </c>
      <c r="AI7" t="str">
        <f t="shared" ca="1" si="0"/>
        <v>相良</v>
      </c>
      <c r="AJ7">
        <f t="shared" ca="1" si="1"/>
        <v>3</v>
      </c>
    </row>
    <row r="8" spans="1:36">
      <c r="A8">
        <f t="shared" si="2"/>
        <v>7</v>
      </c>
      <c r="B8" s="96" t="s">
        <v>82</v>
      </c>
      <c r="E8" t="str">
        <f>データ処理部!D19</f>
        <v/>
      </c>
      <c r="F8" t="str">
        <f t="shared" si="5"/>
        <v/>
      </c>
      <c r="G8" t="str">
        <f>データ処理部!E19</f>
        <v/>
      </c>
      <c r="H8" t="str">
        <f t="shared" si="6"/>
        <v/>
      </c>
      <c r="I8" t="str">
        <f>データ処理部!F19</f>
        <v/>
      </c>
      <c r="J8" t="str">
        <f t="shared" si="7"/>
        <v/>
      </c>
      <c r="K8" t="str">
        <f>データ処理部!G19</f>
        <v/>
      </c>
      <c r="L8" t="str">
        <f t="shared" si="8"/>
        <v/>
      </c>
      <c r="M8" t="str">
        <f>データ処理部!H19</f>
        <v/>
      </c>
      <c r="N8" t="str">
        <f t="shared" si="9"/>
        <v/>
      </c>
      <c r="O8" t="str">
        <f>データ処理部!I19</f>
        <v/>
      </c>
      <c r="P8" t="str">
        <f t="shared" si="10"/>
        <v/>
      </c>
      <c r="Q8" t="str">
        <f>データ処理部!J19</f>
        <v/>
      </c>
      <c r="R8" t="str">
        <f t="shared" si="11"/>
        <v/>
      </c>
      <c r="AG8">
        <f t="shared" ca="1" si="3"/>
        <v>4.7579771343805422E-2</v>
      </c>
      <c r="AH8">
        <f t="shared" ca="1" si="4"/>
        <v>23</v>
      </c>
      <c r="AI8">
        <f t="shared" ca="1" si="0"/>
        <v>0</v>
      </c>
      <c r="AJ8" t="str">
        <f t="shared" ca="1" si="1"/>
        <v/>
      </c>
    </row>
    <row r="9" spans="1:36">
      <c r="A9">
        <f t="shared" si="2"/>
        <v>8</v>
      </c>
      <c r="B9" s="96" t="s">
        <v>81</v>
      </c>
      <c r="E9" t="str">
        <f>データ処理部!D20</f>
        <v/>
      </c>
      <c r="F9" t="str">
        <f t="shared" si="5"/>
        <v/>
      </c>
      <c r="G9" t="str">
        <f>データ処理部!E20</f>
        <v/>
      </c>
      <c r="H9" t="str">
        <f t="shared" si="6"/>
        <v/>
      </c>
      <c r="I9" t="str">
        <f>データ処理部!F20</f>
        <v/>
      </c>
      <c r="J9" t="str">
        <f t="shared" si="7"/>
        <v/>
      </c>
      <c r="K9" t="str">
        <f>データ処理部!G20</f>
        <v/>
      </c>
      <c r="L9" t="str">
        <f t="shared" si="8"/>
        <v/>
      </c>
      <c r="M9" t="str">
        <f>データ処理部!H20</f>
        <v/>
      </c>
      <c r="N9" t="str">
        <f t="shared" si="9"/>
        <v/>
      </c>
      <c r="O9" t="str">
        <f>データ処理部!I20</f>
        <v/>
      </c>
      <c r="P9" t="str">
        <f t="shared" si="10"/>
        <v/>
      </c>
      <c r="Q9" t="str">
        <f>データ処理部!J20</f>
        <v/>
      </c>
      <c r="R9" t="str">
        <f t="shared" si="11"/>
        <v/>
      </c>
      <c r="AG9">
        <f t="shared" ca="1" si="3"/>
        <v>0.39796491319930993</v>
      </c>
      <c r="AH9">
        <f t="shared" ca="1" si="4"/>
        <v>17</v>
      </c>
      <c r="AI9">
        <f t="shared" ca="1" si="0"/>
        <v>0</v>
      </c>
      <c r="AJ9" t="str">
        <f t="shared" ca="1" si="1"/>
        <v/>
      </c>
    </row>
    <row r="10" spans="1:36">
      <c r="A10">
        <f t="shared" si="2"/>
        <v>9</v>
      </c>
      <c r="B10" s="96" t="s">
        <v>80</v>
      </c>
      <c r="E10" t="str">
        <f>データ処理部!D21</f>
        <v/>
      </c>
      <c r="F10" t="str">
        <f t="shared" si="5"/>
        <v/>
      </c>
      <c r="G10" t="str">
        <f>データ処理部!E21</f>
        <v/>
      </c>
      <c r="H10" t="str">
        <f t="shared" si="6"/>
        <v/>
      </c>
      <c r="I10" t="str">
        <f>データ処理部!F21</f>
        <v/>
      </c>
      <c r="J10" t="str">
        <f t="shared" si="7"/>
        <v/>
      </c>
      <c r="K10" t="str">
        <f>データ処理部!G21</f>
        <v/>
      </c>
      <c r="L10" t="str">
        <f t="shared" si="8"/>
        <v/>
      </c>
      <c r="M10" t="str">
        <f>データ処理部!H21</f>
        <v/>
      </c>
      <c r="N10" t="str">
        <f t="shared" si="9"/>
        <v/>
      </c>
      <c r="O10" t="str">
        <f>データ処理部!I21</f>
        <v/>
      </c>
      <c r="P10" t="str">
        <f t="shared" si="10"/>
        <v/>
      </c>
      <c r="Q10" t="str">
        <f>データ処理部!J21</f>
        <v/>
      </c>
      <c r="R10" t="str">
        <f t="shared" si="11"/>
        <v/>
      </c>
      <c r="AG10">
        <f t="shared" ca="1" si="3"/>
        <v>0.45940477641045441</v>
      </c>
      <c r="AH10">
        <f t="shared" ca="1" si="4"/>
        <v>15</v>
      </c>
      <c r="AI10" t="str">
        <f t="shared" ca="1" si="0"/>
        <v>土橋</v>
      </c>
      <c r="AJ10">
        <f t="shared" ref="AJ10:AJ25" ca="1" si="12">IFERROR(INDEX( $A$2:$B$100, MATCH( AI10,$B$2:$B$100, ),1),"")</f>
        <v>15</v>
      </c>
    </row>
    <row r="11" spans="1:36">
      <c r="A11">
        <f t="shared" si="2"/>
        <v>10</v>
      </c>
      <c r="B11" s="96" t="s">
        <v>79</v>
      </c>
      <c r="E11" t="str">
        <f>データ処理部!D22</f>
        <v/>
      </c>
      <c r="F11" t="str">
        <f t="shared" si="5"/>
        <v/>
      </c>
      <c r="G11" t="str">
        <f>データ処理部!E22</f>
        <v/>
      </c>
      <c r="H11" t="str">
        <f t="shared" si="6"/>
        <v/>
      </c>
      <c r="I11" t="str">
        <f>データ処理部!F22</f>
        <v/>
      </c>
      <c r="J11" t="str">
        <f t="shared" si="7"/>
        <v/>
      </c>
      <c r="K11" t="str">
        <f>データ処理部!G22</f>
        <v/>
      </c>
      <c r="L11" t="str">
        <f t="shared" si="8"/>
        <v/>
      </c>
      <c r="M11" t="str">
        <f>データ処理部!H22</f>
        <v/>
      </c>
      <c r="N11" t="str">
        <f t="shared" si="9"/>
        <v/>
      </c>
      <c r="O11" t="str">
        <f>データ処理部!I22</f>
        <v/>
      </c>
      <c r="P11" t="str">
        <f t="shared" si="10"/>
        <v/>
      </c>
      <c r="Q11" t="str">
        <f>データ処理部!J22</f>
        <v/>
      </c>
      <c r="R11" t="str">
        <f t="shared" si="11"/>
        <v/>
      </c>
      <c r="AG11">
        <f t="shared" ca="1" si="3"/>
        <v>0.3235293378124543</v>
      </c>
      <c r="AH11">
        <f t="shared" ca="1" si="4"/>
        <v>19</v>
      </c>
      <c r="AI11">
        <f t="shared" ca="1" si="0"/>
        <v>0</v>
      </c>
      <c r="AJ11" t="str">
        <f t="shared" ca="1" si="12"/>
        <v/>
      </c>
    </row>
    <row r="12" spans="1:36">
      <c r="A12">
        <f t="shared" si="2"/>
        <v>11</v>
      </c>
      <c r="B12" s="96" t="s">
        <v>32</v>
      </c>
      <c r="E12" t="str">
        <f>データ処理部!D23</f>
        <v/>
      </c>
      <c r="F12" t="str">
        <f t="shared" si="5"/>
        <v/>
      </c>
      <c r="G12" t="str">
        <f>データ処理部!E23</f>
        <v/>
      </c>
      <c r="H12" t="str">
        <f t="shared" si="6"/>
        <v/>
      </c>
      <c r="I12" t="str">
        <f>データ処理部!F23</f>
        <v/>
      </c>
      <c r="J12" t="str">
        <f t="shared" si="7"/>
        <v/>
      </c>
      <c r="K12" t="str">
        <f>データ処理部!G23</f>
        <v/>
      </c>
      <c r="L12" t="str">
        <f t="shared" si="8"/>
        <v/>
      </c>
      <c r="M12" t="str">
        <f>データ処理部!H23</f>
        <v/>
      </c>
      <c r="N12" t="str">
        <f t="shared" si="9"/>
        <v/>
      </c>
      <c r="O12" t="str">
        <f>データ処理部!I23</f>
        <v/>
      </c>
      <c r="P12" t="str">
        <f t="shared" si="10"/>
        <v/>
      </c>
      <c r="Q12" t="str">
        <f>データ処理部!J23</f>
        <v/>
      </c>
      <c r="R12" t="str">
        <f t="shared" si="11"/>
        <v/>
      </c>
      <c r="AG12">
        <f t="shared" ca="1" si="3"/>
        <v>0.78067868922504113</v>
      </c>
      <c r="AH12">
        <f t="shared" ca="1" si="4"/>
        <v>7</v>
      </c>
      <c r="AI12" t="str">
        <f t="shared" ca="1" si="0"/>
        <v>三上</v>
      </c>
      <c r="AJ12">
        <f t="shared" ca="1" si="12"/>
        <v>7</v>
      </c>
    </row>
    <row r="13" spans="1:36">
      <c r="A13">
        <f t="shared" si="2"/>
        <v>12</v>
      </c>
      <c r="B13" s="96" t="s">
        <v>78</v>
      </c>
      <c r="E13" t="str">
        <f>データ処理部!D24</f>
        <v/>
      </c>
      <c r="F13" t="str">
        <f t="shared" si="5"/>
        <v/>
      </c>
      <c r="G13" t="str">
        <f>データ処理部!E24</f>
        <v/>
      </c>
      <c r="H13" t="str">
        <f t="shared" si="6"/>
        <v/>
      </c>
      <c r="I13" t="str">
        <f>データ処理部!F24</f>
        <v/>
      </c>
      <c r="J13" t="str">
        <f t="shared" si="7"/>
        <v/>
      </c>
      <c r="K13" t="str">
        <f>データ処理部!G24</f>
        <v/>
      </c>
      <c r="L13" t="str">
        <f t="shared" si="8"/>
        <v/>
      </c>
      <c r="M13" t="str">
        <f>データ処理部!H24</f>
        <v/>
      </c>
      <c r="N13" t="str">
        <f t="shared" si="9"/>
        <v/>
      </c>
      <c r="O13" t="str">
        <f>データ処理部!I24</f>
        <v/>
      </c>
      <c r="P13" t="str">
        <f t="shared" si="10"/>
        <v/>
      </c>
      <c r="Q13" t="str">
        <f>データ処理部!J24</f>
        <v/>
      </c>
      <c r="R13" t="str">
        <f t="shared" si="11"/>
        <v/>
      </c>
      <c r="AG13">
        <f t="shared" ca="1" si="3"/>
        <v>0.96836389366161679</v>
      </c>
      <c r="AH13">
        <f t="shared" ca="1" si="4"/>
        <v>1</v>
      </c>
      <c r="AI13" t="str">
        <f t="shared" ref="AI13:AI25" ca="1" si="13">VLOOKUP(AH13,$A$2:$B$29,2)</f>
        <v>三谷</v>
      </c>
      <c r="AJ13">
        <f t="shared" ca="1" si="12"/>
        <v>1</v>
      </c>
    </row>
    <row r="14" spans="1:36">
      <c r="A14">
        <f t="shared" si="2"/>
        <v>13</v>
      </c>
      <c r="B14" s="96" t="s">
        <v>77</v>
      </c>
      <c r="E14" t="str">
        <f>データ処理部!D25</f>
        <v/>
      </c>
      <c r="F14" t="str">
        <f t="shared" si="5"/>
        <v/>
      </c>
      <c r="G14" t="str">
        <f>データ処理部!E25</f>
        <v/>
      </c>
      <c r="H14" t="str">
        <f t="shared" si="6"/>
        <v/>
      </c>
      <c r="I14" t="str">
        <f>データ処理部!F25</f>
        <v/>
      </c>
      <c r="J14" t="str">
        <f t="shared" si="7"/>
        <v/>
      </c>
      <c r="K14" t="str">
        <f>データ処理部!G25</f>
        <v/>
      </c>
      <c r="L14" t="str">
        <f t="shared" si="8"/>
        <v/>
      </c>
      <c r="M14" t="str">
        <f>データ処理部!H25</f>
        <v/>
      </c>
      <c r="N14" t="str">
        <f t="shared" si="9"/>
        <v/>
      </c>
      <c r="O14" t="str">
        <f>データ処理部!I25</f>
        <v/>
      </c>
      <c r="P14" t="str">
        <f t="shared" si="10"/>
        <v/>
      </c>
      <c r="Q14" t="str">
        <f>データ処理部!J25</f>
        <v/>
      </c>
      <c r="R14" t="str">
        <f t="shared" si="11"/>
        <v/>
      </c>
      <c r="AG14">
        <f t="shared" ca="1" si="3"/>
        <v>0.55602679319874304</v>
      </c>
      <c r="AH14">
        <f t="shared" ca="1" si="4"/>
        <v>13</v>
      </c>
      <c r="AI14" t="str">
        <f t="shared" ca="1" si="13"/>
        <v>西脇</v>
      </c>
      <c r="AJ14">
        <f t="shared" ca="1" si="12"/>
        <v>13</v>
      </c>
    </row>
    <row r="15" spans="1:36">
      <c r="A15">
        <f t="shared" si="2"/>
        <v>14</v>
      </c>
      <c r="B15" s="96" t="s">
        <v>76</v>
      </c>
      <c r="E15" t="str">
        <f>データ処理部!D26</f>
        <v/>
      </c>
      <c r="F15" t="str">
        <f t="shared" si="5"/>
        <v/>
      </c>
      <c r="G15" t="str">
        <f>データ処理部!E26</f>
        <v/>
      </c>
      <c r="H15" t="str">
        <f t="shared" si="6"/>
        <v/>
      </c>
      <c r="I15" t="str">
        <f>データ処理部!F26</f>
        <v/>
      </c>
      <c r="J15" t="str">
        <f t="shared" si="7"/>
        <v/>
      </c>
      <c r="K15" t="str">
        <f>データ処理部!G26</f>
        <v/>
      </c>
      <c r="L15" t="str">
        <f t="shared" si="8"/>
        <v/>
      </c>
      <c r="M15" t="str">
        <f>データ処理部!H26</f>
        <v/>
      </c>
      <c r="N15" t="str">
        <f t="shared" si="9"/>
        <v/>
      </c>
      <c r="O15" t="str">
        <f>データ処理部!I26</f>
        <v/>
      </c>
      <c r="P15" t="str">
        <f t="shared" si="10"/>
        <v/>
      </c>
      <c r="Q15" t="str">
        <f>データ処理部!J26</f>
        <v/>
      </c>
      <c r="R15" t="str">
        <f t="shared" si="11"/>
        <v/>
      </c>
      <c r="AG15">
        <f t="shared" ca="1" si="3"/>
        <v>0.63709428294866666</v>
      </c>
      <c r="AH15">
        <f t="shared" ca="1" si="4"/>
        <v>10</v>
      </c>
      <c r="AI15" t="str">
        <f t="shared" ca="1" si="13"/>
        <v>菅原</v>
      </c>
      <c r="AJ15">
        <f t="shared" ca="1" si="12"/>
        <v>10</v>
      </c>
    </row>
    <row r="16" spans="1:36">
      <c r="A16">
        <f t="shared" si="2"/>
        <v>15</v>
      </c>
      <c r="B16" s="96" t="s">
        <v>75</v>
      </c>
      <c r="E16" t="str">
        <f>データ処理部!D27</f>
        <v/>
      </c>
      <c r="F16" t="str">
        <f t="shared" si="5"/>
        <v/>
      </c>
      <c r="G16" t="str">
        <f>データ処理部!E27</f>
        <v/>
      </c>
      <c r="H16" t="str">
        <f t="shared" si="6"/>
        <v/>
      </c>
      <c r="I16" t="str">
        <f>データ処理部!F27</f>
        <v/>
      </c>
      <c r="J16" t="str">
        <f t="shared" si="7"/>
        <v/>
      </c>
      <c r="K16" t="str">
        <f>データ処理部!G27</f>
        <v/>
      </c>
      <c r="L16" t="str">
        <f t="shared" si="8"/>
        <v/>
      </c>
      <c r="M16" t="str">
        <f>データ処理部!H27</f>
        <v/>
      </c>
      <c r="N16" t="str">
        <f t="shared" si="9"/>
        <v/>
      </c>
      <c r="O16" t="str">
        <f>データ処理部!I27</f>
        <v/>
      </c>
      <c r="P16" t="str">
        <f t="shared" si="10"/>
        <v/>
      </c>
      <c r="Q16" t="str">
        <f>データ処理部!J27</f>
        <v/>
      </c>
      <c r="R16" t="str">
        <f t="shared" si="11"/>
        <v/>
      </c>
      <c r="AG16">
        <f t="shared" ca="1" si="3"/>
        <v>0.23407209616017444</v>
      </c>
      <c r="AH16">
        <f t="shared" ca="1" si="4"/>
        <v>20</v>
      </c>
      <c r="AI16">
        <f t="shared" ca="1" si="13"/>
        <v>0</v>
      </c>
      <c r="AJ16" t="str">
        <f t="shared" ca="1" si="12"/>
        <v/>
      </c>
    </row>
    <row r="17" spans="1:36">
      <c r="A17">
        <f t="shared" si="2"/>
        <v>16</v>
      </c>
      <c r="B17" s="96" t="s">
        <v>74</v>
      </c>
      <c r="E17" t="str">
        <f>データ処理部!D28</f>
        <v/>
      </c>
      <c r="F17" t="str">
        <f t="shared" si="5"/>
        <v/>
      </c>
      <c r="G17" t="str">
        <f>データ処理部!E28</f>
        <v/>
      </c>
      <c r="H17" t="str">
        <f t="shared" si="6"/>
        <v/>
      </c>
      <c r="I17" t="str">
        <f>データ処理部!F28</f>
        <v/>
      </c>
      <c r="J17" t="str">
        <f t="shared" si="7"/>
        <v/>
      </c>
      <c r="K17" t="str">
        <f>データ処理部!G28</f>
        <v/>
      </c>
      <c r="L17" t="str">
        <f t="shared" si="8"/>
        <v/>
      </c>
      <c r="M17" t="str">
        <f>データ処理部!H28</f>
        <v/>
      </c>
      <c r="N17" t="str">
        <f t="shared" si="9"/>
        <v/>
      </c>
      <c r="O17" t="str">
        <f>データ処理部!I28</f>
        <v/>
      </c>
      <c r="P17" t="str">
        <f t="shared" si="10"/>
        <v/>
      </c>
      <c r="Q17" t="str">
        <f>データ処理部!J28</f>
        <v/>
      </c>
      <c r="R17" t="str">
        <f t="shared" si="11"/>
        <v/>
      </c>
      <c r="AG17">
        <f t="shared" ca="1" si="3"/>
        <v>0.64819632572711772</v>
      </c>
      <c r="AH17">
        <f t="shared" ca="1" si="4"/>
        <v>9</v>
      </c>
      <c r="AI17" t="str">
        <f t="shared" ca="1" si="13"/>
        <v>片野</v>
      </c>
      <c r="AJ17">
        <f t="shared" ca="1" si="12"/>
        <v>9</v>
      </c>
    </row>
    <row r="18" spans="1:36">
      <c r="A18">
        <f t="shared" si="2"/>
        <v>17</v>
      </c>
      <c r="E18" t="str">
        <f>データ処理部!D29</f>
        <v/>
      </c>
      <c r="F18" t="str">
        <f t="shared" si="5"/>
        <v/>
      </c>
      <c r="G18" t="str">
        <f>データ処理部!E29</f>
        <v/>
      </c>
      <c r="H18" t="str">
        <f t="shared" si="6"/>
        <v/>
      </c>
      <c r="I18" t="str">
        <f>データ処理部!F29</f>
        <v/>
      </c>
      <c r="J18" t="str">
        <f t="shared" si="7"/>
        <v/>
      </c>
      <c r="K18" t="str">
        <f>データ処理部!G29</f>
        <v/>
      </c>
      <c r="L18" t="str">
        <f t="shared" si="8"/>
        <v/>
      </c>
      <c r="M18" t="str">
        <f>データ処理部!H29</f>
        <v/>
      </c>
      <c r="N18" t="str">
        <f t="shared" si="9"/>
        <v/>
      </c>
      <c r="O18" t="str">
        <f>データ処理部!I29</f>
        <v/>
      </c>
      <c r="P18" t="str">
        <f t="shared" si="10"/>
        <v/>
      </c>
      <c r="Q18" t="str">
        <f>データ処理部!J29</f>
        <v/>
      </c>
      <c r="R18" t="str">
        <f t="shared" si="11"/>
        <v/>
      </c>
      <c r="AG18">
        <f t="shared" ca="1" si="3"/>
        <v>0.78504746988388441</v>
      </c>
      <c r="AH18">
        <f t="shared" ca="1" si="4"/>
        <v>6</v>
      </c>
      <c r="AI18" t="str">
        <f t="shared" ca="1" si="13"/>
        <v>神谷</v>
      </c>
      <c r="AJ18">
        <f t="shared" ca="1" si="12"/>
        <v>6</v>
      </c>
    </row>
    <row r="19" spans="1:36">
      <c r="A19">
        <f t="shared" si="2"/>
        <v>18</v>
      </c>
      <c r="E19" t="str">
        <f>データ処理部!D30</f>
        <v/>
      </c>
      <c r="F19" t="str">
        <f t="shared" si="5"/>
        <v/>
      </c>
      <c r="G19" t="str">
        <f>データ処理部!E30</f>
        <v/>
      </c>
      <c r="H19" t="str">
        <f t="shared" si="6"/>
        <v/>
      </c>
      <c r="I19" t="str">
        <f>データ処理部!F30</f>
        <v/>
      </c>
      <c r="J19" t="str">
        <f t="shared" si="7"/>
        <v/>
      </c>
      <c r="K19" t="str">
        <f>データ処理部!G30</f>
        <v/>
      </c>
      <c r="L19" t="str">
        <f t="shared" si="8"/>
        <v/>
      </c>
      <c r="M19" t="str">
        <f>データ処理部!H30</f>
        <v/>
      </c>
      <c r="N19" t="str">
        <f t="shared" si="9"/>
        <v/>
      </c>
      <c r="O19" t="str">
        <f>データ処理部!I30</f>
        <v/>
      </c>
      <c r="P19" t="str">
        <f t="shared" si="10"/>
        <v/>
      </c>
      <c r="Q19" t="str">
        <f>データ処理部!J30</f>
        <v/>
      </c>
      <c r="R19" t="str">
        <f t="shared" si="11"/>
        <v/>
      </c>
      <c r="AG19">
        <f t="shared" ca="1" si="3"/>
        <v>1.4883335696129874E-2</v>
      </c>
      <c r="AH19">
        <f t="shared" ca="1" si="4"/>
        <v>24</v>
      </c>
      <c r="AI19">
        <f t="shared" ca="1" si="13"/>
        <v>0</v>
      </c>
      <c r="AJ19" t="str">
        <f t="shared" ca="1" si="12"/>
        <v/>
      </c>
    </row>
    <row r="20" spans="1:36">
      <c r="A20">
        <f t="shared" si="2"/>
        <v>19</v>
      </c>
      <c r="E20" t="str">
        <f>データ処理部!D31</f>
        <v/>
      </c>
      <c r="F20" t="str">
        <f t="shared" si="5"/>
        <v/>
      </c>
      <c r="G20" t="str">
        <f>データ処理部!E31</f>
        <v/>
      </c>
      <c r="H20" t="str">
        <f t="shared" si="6"/>
        <v/>
      </c>
      <c r="I20" t="str">
        <f>データ処理部!F31</f>
        <v/>
      </c>
      <c r="J20" t="str">
        <f t="shared" si="7"/>
        <v/>
      </c>
      <c r="K20" t="str">
        <f>データ処理部!G31</f>
        <v/>
      </c>
      <c r="L20" t="str">
        <f t="shared" si="8"/>
        <v/>
      </c>
      <c r="M20" t="str">
        <f>データ処理部!H31</f>
        <v/>
      </c>
      <c r="N20" t="str">
        <f t="shared" si="9"/>
        <v/>
      </c>
      <c r="O20" t="str">
        <f>データ処理部!I31</f>
        <v/>
      </c>
      <c r="P20" t="str">
        <f t="shared" si="10"/>
        <v/>
      </c>
      <c r="Q20" t="str">
        <f>データ処理部!J31</f>
        <v/>
      </c>
      <c r="R20" t="str">
        <f t="shared" si="11"/>
        <v/>
      </c>
      <c r="AG20">
        <f t="shared" ca="1" si="3"/>
        <v>0.17102373417132899</v>
      </c>
      <c r="AH20">
        <f t="shared" ca="1" si="4"/>
        <v>21</v>
      </c>
      <c r="AI20">
        <f t="shared" ca="1" si="13"/>
        <v>0</v>
      </c>
      <c r="AJ20" t="str">
        <f t="shared" ca="1" si="12"/>
        <v/>
      </c>
    </row>
    <row r="21" spans="1:36">
      <c r="A21">
        <f t="shared" si="2"/>
        <v>20</v>
      </c>
      <c r="E21" t="str">
        <f>データ処理部!D32</f>
        <v/>
      </c>
      <c r="F21" t="str">
        <f t="shared" si="5"/>
        <v/>
      </c>
      <c r="G21" t="str">
        <f>データ処理部!E32</f>
        <v/>
      </c>
      <c r="H21" t="str">
        <f t="shared" si="6"/>
        <v/>
      </c>
      <c r="I21" t="str">
        <f>データ処理部!F32</f>
        <v/>
      </c>
      <c r="J21" t="str">
        <f t="shared" si="7"/>
        <v/>
      </c>
      <c r="K21" t="str">
        <f>データ処理部!G32</f>
        <v/>
      </c>
      <c r="L21" t="str">
        <f t="shared" si="8"/>
        <v/>
      </c>
      <c r="M21" t="str">
        <f>データ処理部!H32</f>
        <v/>
      </c>
      <c r="N21" t="str">
        <f t="shared" si="9"/>
        <v/>
      </c>
      <c r="O21" t="str">
        <f>データ処理部!I32</f>
        <v/>
      </c>
      <c r="P21" t="str">
        <f t="shared" si="10"/>
        <v/>
      </c>
      <c r="Q21" t="str">
        <f>データ処理部!J32</f>
        <v/>
      </c>
      <c r="R21" t="str">
        <f t="shared" si="11"/>
        <v/>
      </c>
      <c r="AG21">
        <f t="shared" ca="1" si="3"/>
        <v>0.95216642366932436</v>
      </c>
      <c r="AH21">
        <f t="shared" ca="1" si="4"/>
        <v>2</v>
      </c>
      <c r="AI21" t="str">
        <f t="shared" ca="1" si="13"/>
        <v>黒木</v>
      </c>
      <c r="AJ21">
        <f t="shared" ca="1" si="12"/>
        <v>2</v>
      </c>
    </row>
    <row r="22" spans="1:36">
      <c r="A22">
        <f t="shared" si="2"/>
        <v>21</v>
      </c>
      <c r="E22" t="str">
        <f>データ処理部!D33</f>
        <v/>
      </c>
      <c r="F22" t="str">
        <f t="shared" si="5"/>
        <v/>
      </c>
      <c r="G22" t="str">
        <f>データ処理部!E33</f>
        <v/>
      </c>
      <c r="H22" t="str">
        <f t="shared" si="6"/>
        <v/>
      </c>
      <c r="I22" t="str">
        <f>データ処理部!F33</f>
        <v/>
      </c>
      <c r="J22" t="str">
        <f t="shared" si="7"/>
        <v/>
      </c>
      <c r="K22" t="str">
        <f>データ処理部!G33</f>
        <v/>
      </c>
      <c r="L22" t="str">
        <f t="shared" si="8"/>
        <v/>
      </c>
      <c r="M22" t="str">
        <f>データ処理部!H33</f>
        <v/>
      </c>
      <c r="N22" t="str">
        <f t="shared" si="9"/>
        <v/>
      </c>
      <c r="O22" t="str">
        <f>データ処理部!I33</f>
        <v/>
      </c>
      <c r="P22" t="str">
        <f t="shared" si="10"/>
        <v/>
      </c>
      <c r="Q22" t="str">
        <f>データ処理部!J33</f>
        <v/>
      </c>
      <c r="R22" t="str">
        <f t="shared" si="11"/>
        <v/>
      </c>
      <c r="AG22">
        <f t="shared" ca="1" si="3"/>
        <v>0.3259030145765216</v>
      </c>
      <c r="AH22">
        <f t="shared" ca="1" si="4"/>
        <v>18</v>
      </c>
      <c r="AI22">
        <f t="shared" ca="1" si="13"/>
        <v>0</v>
      </c>
      <c r="AJ22" t="str">
        <f t="shared" ca="1" si="12"/>
        <v/>
      </c>
    </row>
    <row r="23" spans="1:36">
      <c r="A23">
        <f t="shared" si="2"/>
        <v>22</v>
      </c>
      <c r="E23" t="str">
        <f>データ処理部!D34</f>
        <v/>
      </c>
      <c r="F23" t="str">
        <f t="shared" si="5"/>
        <v/>
      </c>
      <c r="G23" t="str">
        <f>データ処理部!E34</f>
        <v/>
      </c>
      <c r="H23" t="str">
        <f t="shared" si="6"/>
        <v/>
      </c>
      <c r="I23" t="str">
        <f>データ処理部!F34</f>
        <v/>
      </c>
      <c r="J23" t="str">
        <f t="shared" si="7"/>
        <v/>
      </c>
      <c r="K23" t="str">
        <f>データ処理部!G34</f>
        <v/>
      </c>
      <c r="L23" t="str">
        <f t="shared" si="8"/>
        <v/>
      </c>
      <c r="M23" t="str">
        <f>データ処理部!H34</f>
        <v/>
      </c>
      <c r="N23" t="str">
        <f t="shared" si="9"/>
        <v/>
      </c>
      <c r="O23" t="str">
        <f>データ処理部!I34</f>
        <v/>
      </c>
      <c r="P23" t="str">
        <f t="shared" si="10"/>
        <v/>
      </c>
      <c r="Q23" t="str">
        <f>データ処理部!J34</f>
        <v/>
      </c>
      <c r="R23" t="str">
        <f t="shared" si="11"/>
        <v/>
      </c>
      <c r="AG23">
        <f t="shared" ca="1" si="3"/>
        <v>0.71902449522831158</v>
      </c>
      <c r="AH23">
        <f t="shared" ca="1" si="4"/>
        <v>8</v>
      </c>
      <c r="AI23" t="str">
        <f t="shared" ca="1" si="13"/>
        <v>五味</v>
      </c>
      <c r="AJ23">
        <f t="shared" ca="1" si="12"/>
        <v>8</v>
      </c>
    </row>
    <row r="24" spans="1:36">
      <c r="A24">
        <f t="shared" si="2"/>
        <v>23</v>
      </c>
      <c r="E24" t="str">
        <f>データ処理部!D35</f>
        <v/>
      </c>
      <c r="F24" t="str">
        <f t="shared" si="5"/>
        <v/>
      </c>
      <c r="G24" t="str">
        <f>データ処理部!E35</f>
        <v/>
      </c>
      <c r="H24" t="str">
        <f t="shared" si="6"/>
        <v/>
      </c>
      <c r="I24" t="str">
        <f>データ処理部!F35</f>
        <v/>
      </c>
      <c r="J24" t="str">
        <f t="shared" si="7"/>
        <v/>
      </c>
      <c r="K24" t="str">
        <f>データ処理部!G35</f>
        <v/>
      </c>
      <c r="L24" t="str">
        <f t="shared" si="8"/>
        <v/>
      </c>
      <c r="M24" t="str">
        <f>データ処理部!H35</f>
        <v/>
      </c>
      <c r="N24" t="str">
        <f t="shared" si="9"/>
        <v/>
      </c>
      <c r="O24" t="str">
        <f>データ処理部!I35</f>
        <v/>
      </c>
      <c r="P24" t="str">
        <f t="shared" si="10"/>
        <v/>
      </c>
      <c r="Q24" t="str">
        <f>データ処理部!J35</f>
        <v/>
      </c>
      <c r="R24" t="str">
        <f t="shared" si="11"/>
        <v/>
      </c>
      <c r="AG24">
        <f t="shared" ca="1" si="3"/>
        <v>0.41690977693470854</v>
      </c>
      <c r="AH24">
        <f t="shared" ca="1" si="4"/>
        <v>16</v>
      </c>
      <c r="AI24" t="str">
        <f t="shared" ca="1" si="13"/>
        <v>原</v>
      </c>
      <c r="AJ24">
        <f t="shared" ca="1" si="12"/>
        <v>16</v>
      </c>
    </row>
    <row r="25" spans="1:36">
      <c r="A25">
        <f t="shared" si="2"/>
        <v>24</v>
      </c>
      <c r="E25" t="str">
        <f>データ処理部!D36</f>
        <v/>
      </c>
      <c r="F25" t="str">
        <f t="shared" si="5"/>
        <v/>
      </c>
      <c r="G25" t="str">
        <f>データ処理部!E36</f>
        <v/>
      </c>
      <c r="H25" t="str">
        <f t="shared" si="6"/>
        <v/>
      </c>
      <c r="I25" t="str">
        <f>データ処理部!F36</f>
        <v/>
      </c>
      <c r="J25" t="str">
        <f t="shared" si="7"/>
        <v/>
      </c>
      <c r="K25" t="str">
        <f>データ処理部!G36</f>
        <v/>
      </c>
      <c r="L25" t="str">
        <f t="shared" si="8"/>
        <v/>
      </c>
      <c r="M25" t="str">
        <f>データ処理部!H36</f>
        <v/>
      </c>
      <c r="N25" t="str">
        <f t="shared" si="9"/>
        <v/>
      </c>
      <c r="O25" t="str">
        <f>データ処理部!I36</f>
        <v/>
      </c>
      <c r="P25" t="str">
        <f t="shared" si="10"/>
        <v/>
      </c>
      <c r="Q25" t="str">
        <f>データ処理部!J36</f>
        <v/>
      </c>
      <c r="R25" t="str">
        <f t="shared" si="11"/>
        <v/>
      </c>
      <c r="AG25">
        <f t="shared" ca="1" si="3"/>
        <v>0.47079695389005938</v>
      </c>
      <c r="AH25">
        <f t="shared" ca="1" si="4"/>
        <v>14</v>
      </c>
      <c r="AI25" t="str">
        <f t="shared" ca="1" si="13"/>
        <v>富田</v>
      </c>
      <c r="AJ25">
        <f t="shared" ca="1" si="12"/>
        <v>14</v>
      </c>
    </row>
    <row r="26" spans="1:36">
      <c r="A26">
        <f t="shared" si="2"/>
        <v>25</v>
      </c>
      <c r="E26" t="str">
        <f>データ処理部!D37</f>
        <v/>
      </c>
      <c r="F26" t="str">
        <f t="shared" si="5"/>
        <v/>
      </c>
      <c r="G26" t="str">
        <f>データ処理部!E37</f>
        <v/>
      </c>
      <c r="H26" t="str">
        <f t="shared" si="6"/>
        <v/>
      </c>
      <c r="I26" t="str">
        <f>データ処理部!F37</f>
        <v/>
      </c>
      <c r="J26" t="str">
        <f t="shared" si="7"/>
        <v/>
      </c>
      <c r="K26" t="str">
        <f>データ処理部!G37</f>
        <v/>
      </c>
      <c r="L26" t="str">
        <f t="shared" si="8"/>
        <v/>
      </c>
      <c r="M26" t="str">
        <f>データ処理部!H37</f>
        <v/>
      </c>
      <c r="N26" t="str">
        <f t="shared" si="9"/>
        <v/>
      </c>
      <c r="O26" t="str">
        <f>データ処理部!I37</f>
        <v/>
      </c>
      <c r="P26" t="str">
        <f t="shared" si="10"/>
        <v/>
      </c>
      <c r="Q26" t="str">
        <f>データ処理部!J37</f>
        <v/>
      </c>
      <c r="R26" t="str">
        <f t="shared" si="11"/>
        <v/>
      </c>
    </row>
    <row r="27" spans="1:36">
      <c r="A27">
        <f t="shared" si="2"/>
        <v>26</v>
      </c>
      <c r="E27" t="str">
        <f>データ処理部!D38</f>
        <v/>
      </c>
      <c r="F27" t="str">
        <f t="shared" si="5"/>
        <v/>
      </c>
      <c r="G27" t="str">
        <f>データ処理部!E38</f>
        <v/>
      </c>
      <c r="H27" t="str">
        <f t="shared" si="6"/>
        <v/>
      </c>
      <c r="I27" t="str">
        <f>データ処理部!F38</f>
        <v/>
      </c>
      <c r="J27" t="str">
        <f t="shared" si="7"/>
        <v/>
      </c>
      <c r="K27" t="str">
        <f>データ処理部!G38</f>
        <v/>
      </c>
      <c r="L27" t="str">
        <f t="shared" si="8"/>
        <v/>
      </c>
      <c r="M27" t="str">
        <f>データ処理部!H38</f>
        <v/>
      </c>
      <c r="N27" t="str">
        <f t="shared" si="9"/>
        <v/>
      </c>
      <c r="O27" t="str">
        <f>データ処理部!I38</f>
        <v/>
      </c>
      <c r="P27" t="str">
        <f t="shared" si="10"/>
        <v/>
      </c>
      <c r="Q27" t="str">
        <f>データ処理部!J38</f>
        <v/>
      </c>
      <c r="R27" t="str">
        <f t="shared" si="11"/>
        <v/>
      </c>
    </row>
    <row r="28" spans="1:36">
      <c r="A28">
        <f t="shared" si="2"/>
        <v>27</v>
      </c>
      <c r="E28" t="s">
        <v>110</v>
      </c>
    </row>
    <row r="29" spans="1:36">
      <c r="A29">
        <f t="shared" si="2"/>
        <v>28</v>
      </c>
    </row>
    <row r="30" spans="1:36">
      <c r="A30">
        <f t="shared" si="2"/>
        <v>29</v>
      </c>
    </row>
    <row r="31" spans="1:36">
      <c r="A31">
        <f t="shared" si="2"/>
        <v>30</v>
      </c>
    </row>
    <row r="32" spans="1:36">
      <c r="A32">
        <f t="shared" si="2"/>
        <v>31</v>
      </c>
    </row>
    <row r="33" spans="1:1">
      <c r="A33">
        <f t="shared" si="2"/>
        <v>32</v>
      </c>
    </row>
    <row r="34" spans="1:1">
      <c r="A34">
        <f t="shared" si="2"/>
        <v>33</v>
      </c>
    </row>
    <row r="35" spans="1:1">
      <c r="A35">
        <f t="shared" si="2"/>
        <v>34</v>
      </c>
    </row>
    <row r="36" spans="1:1">
      <c r="A36">
        <f t="shared" si="2"/>
        <v>35</v>
      </c>
    </row>
    <row r="37" spans="1:1">
      <c r="A37">
        <f t="shared" si="2"/>
        <v>36</v>
      </c>
    </row>
    <row r="38" spans="1:1">
      <c r="A38">
        <f t="shared" si="2"/>
        <v>37</v>
      </c>
    </row>
    <row r="39" spans="1:1">
      <c r="A39">
        <f t="shared" si="2"/>
        <v>38</v>
      </c>
    </row>
    <row r="40" spans="1:1">
      <c r="A40">
        <f t="shared" si="2"/>
        <v>39</v>
      </c>
    </row>
    <row r="41" spans="1:1">
      <c r="A41">
        <f t="shared" si="2"/>
        <v>40</v>
      </c>
    </row>
    <row r="42" spans="1:1">
      <c r="A42">
        <f t="shared" si="2"/>
        <v>41</v>
      </c>
    </row>
    <row r="43" spans="1:1">
      <c r="A43">
        <f t="shared" si="2"/>
        <v>42</v>
      </c>
    </row>
    <row r="44" spans="1:1">
      <c r="A44">
        <f t="shared" si="2"/>
        <v>43</v>
      </c>
    </row>
    <row r="45" spans="1:1">
      <c r="A45">
        <f t="shared" si="2"/>
        <v>44</v>
      </c>
    </row>
    <row r="46" spans="1:1">
      <c r="A46">
        <f t="shared" si="2"/>
        <v>45</v>
      </c>
    </row>
    <row r="47" spans="1:1">
      <c r="A47">
        <f t="shared" si="2"/>
        <v>46</v>
      </c>
    </row>
    <row r="48" spans="1:1">
      <c r="A48">
        <f t="shared" si="2"/>
        <v>47</v>
      </c>
    </row>
    <row r="49" spans="1:1">
      <c r="A49">
        <f t="shared" si="2"/>
        <v>48</v>
      </c>
    </row>
    <row r="50" spans="1:1">
      <c r="A50">
        <f t="shared" si="2"/>
        <v>49</v>
      </c>
    </row>
    <row r="51" spans="1:1">
      <c r="A51">
        <f t="shared" si="2"/>
        <v>50</v>
      </c>
    </row>
    <row r="52" spans="1:1">
      <c r="A52">
        <f t="shared" si="2"/>
        <v>51</v>
      </c>
    </row>
    <row r="53" spans="1:1">
      <c r="A53">
        <f t="shared" si="2"/>
        <v>52</v>
      </c>
    </row>
    <row r="54" spans="1:1">
      <c r="A54">
        <f t="shared" si="2"/>
        <v>53</v>
      </c>
    </row>
    <row r="55" spans="1:1">
      <c r="A55">
        <f t="shared" si="2"/>
        <v>54</v>
      </c>
    </row>
    <row r="56" spans="1:1">
      <c r="A56">
        <f t="shared" si="2"/>
        <v>55</v>
      </c>
    </row>
    <row r="57" spans="1:1">
      <c r="A57">
        <f t="shared" si="2"/>
        <v>56</v>
      </c>
    </row>
    <row r="58" spans="1:1">
      <c r="A58">
        <f t="shared" si="2"/>
        <v>57</v>
      </c>
    </row>
    <row r="59" spans="1:1">
      <c r="A59">
        <f t="shared" si="2"/>
        <v>58</v>
      </c>
    </row>
    <row r="60" spans="1:1">
      <c r="A60">
        <f t="shared" si="2"/>
        <v>59</v>
      </c>
    </row>
    <row r="61" spans="1:1">
      <c r="A61">
        <f t="shared" si="2"/>
        <v>60</v>
      </c>
    </row>
    <row r="62" spans="1:1">
      <c r="A62">
        <f t="shared" si="2"/>
        <v>61</v>
      </c>
    </row>
    <row r="63" spans="1:1">
      <c r="A63">
        <f t="shared" si="2"/>
        <v>62</v>
      </c>
    </row>
    <row r="64" spans="1:1">
      <c r="A64">
        <f t="shared" si="2"/>
        <v>63</v>
      </c>
    </row>
    <row r="65" spans="1:1">
      <c r="A65">
        <f t="shared" si="2"/>
        <v>64</v>
      </c>
    </row>
    <row r="66" spans="1:1">
      <c r="A66">
        <f t="shared" si="2"/>
        <v>65</v>
      </c>
    </row>
    <row r="67" spans="1:1">
      <c r="A67">
        <f t="shared" ref="A67:A103" si="14">ROW()-1</f>
        <v>66</v>
      </c>
    </row>
    <row r="68" spans="1:1">
      <c r="A68">
        <f t="shared" si="14"/>
        <v>67</v>
      </c>
    </row>
    <row r="69" spans="1:1">
      <c r="A69">
        <f t="shared" si="14"/>
        <v>68</v>
      </c>
    </row>
    <row r="70" spans="1:1">
      <c r="A70">
        <f t="shared" si="14"/>
        <v>69</v>
      </c>
    </row>
    <row r="71" spans="1:1">
      <c r="A71">
        <f t="shared" si="14"/>
        <v>70</v>
      </c>
    </row>
    <row r="72" spans="1:1">
      <c r="A72">
        <f t="shared" si="14"/>
        <v>71</v>
      </c>
    </row>
    <row r="73" spans="1:1">
      <c r="A73">
        <f t="shared" si="14"/>
        <v>72</v>
      </c>
    </row>
    <row r="74" spans="1:1">
      <c r="A74">
        <f t="shared" si="14"/>
        <v>73</v>
      </c>
    </row>
    <row r="75" spans="1:1">
      <c r="A75">
        <f t="shared" si="14"/>
        <v>74</v>
      </c>
    </row>
    <row r="76" spans="1:1">
      <c r="A76">
        <f t="shared" si="14"/>
        <v>75</v>
      </c>
    </row>
    <row r="77" spans="1:1">
      <c r="A77">
        <f t="shared" si="14"/>
        <v>76</v>
      </c>
    </row>
    <row r="78" spans="1:1">
      <c r="A78">
        <f t="shared" si="14"/>
        <v>77</v>
      </c>
    </row>
    <row r="79" spans="1:1">
      <c r="A79">
        <f t="shared" si="14"/>
        <v>78</v>
      </c>
    </row>
    <row r="80" spans="1:1">
      <c r="A80">
        <f t="shared" si="14"/>
        <v>79</v>
      </c>
    </row>
    <row r="81" spans="1:1">
      <c r="A81">
        <f t="shared" si="14"/>
        <v>80</v>
      </c>
    </row>
    <row r="82" spans="1:1">
      <c r="A82">
        <f t="shared" si="14"/>
        <v>81</v>
      </c>
    </row>
    <row r="83" spans="1:1">
      <c r="A83">
        <f t="shared" si="14"/>
        <v>82</v>
      </c>
    </row>
    <row r="84" spans="1:1">
      <c r="A84">
        <f t="shared" si="14"/>
        <v>83</v>
      </c>
    </row>
    <row r="85" spans="1:1">
      <c r="A85">
        <f t="shared" si="14"/>
        <v>84</v>
      </c>
    </row>
    <row r="86" spans="1:1">
      <c r="A86">
        <f t="shared" si="14"/>
        <v>85</v>
      </c>
    </row>
    <row r="87" spans="1:1">
      <c r="A87">
        <f t="shared" si="14"/>
        <v>86</v>
      </c>
    </row>
    <row r="88" spans="1:1">
      <c r="A88">
        <f t="shared" si="14"/>
        <v>87</v>
      </c>
    </row>
    <row r="89" spans="1:1">
      <c r="A89">
        <f t="shared" si="14"/>
        <v>88</v>
      </c>
    </row>
    <row r="90" spans="1:1">
      <c r="A90">
        <f t="shared" si="14"/>
        <v>89</v>
      </c>
    </row>
    <row r="91" spans="1:1">
      <c r="A91">
        <f t="shared" si="14"/>
        <v>90</v>
      </c>
    </row>
    <row r="92" spans="1:1">
      <c r="A92">
        <f t="shared" si="14"/>
        <v>91</v>
      </c>
    </row>
    <row r="93" spans="1:1">
      <c r="A93">
        <f t="shared" si="14"/>
        <v>92</v>
      </c>
    </row>
    <row r="94" spans="1:1">
      <c r="A94">
        <f t="shared" si="14"/>
        <v>93</v>
      </c>
    </row>
    <row r="95" spans="1:1">
      <c r="A95">
        <f t="shared" si="14"/>
        <v>94</v>
      </c>
    </row>
    <row r="96" spans="1:1">
      <c r="A96">
        <f t="shared" si="14"/>
        <v>95</v>
      </c>
    </row>
    <row r="97" spans="1:1">
      <c r="A97">
        <f t="shared" si="14"/>
        <v>96</v>
      </c>
    </row>
    <row r="98" spans="1:1">
      <c r="A98">
        <f t="shared" si="14"/>
        <v>97</v>
      </c>
    </row>
    <row r="99" spans="1:1">
      <c r="A99">
        <f t="shared" si="14"/>
        <v>98</v>
      </c>
    </row>
    <row r="100" spans="1:1">
      <c r="A100">
        <f t="shared" si="14"/>
        <v>99</v>
      </c>
    </row>
    <row r="101" spans="1:1">
      <c r="A101">
        <f t="shared" si="14"/>
        <v>100</v>
      </c>
    </row>
    <row r="102" spans="1:1">
      <c r="A102">
        <f t="shared" si="14"/>
        <v>101</v>
      </c>
    </row>
    <row r="103" spans="1:1">
      <c r="A103">
        <f t="shared" si="14"/>
        <v>102</v>
      </c>
    </row>
  </sheetData>
  <mergeCells count="7">
    <mergeCell ref="O2:P2"/>
    <mergeCell ref="Q2:R2"/>
    <mergeCell ref="E2:F2"/>
    <mergeCell ref="G2:H2"/>
    <mergeCell ref="I2:J2"/>
    <mergeCell ref="K2:L2"/>
    <mergeCell ref="M2:N2"/>
  </mergeCells>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737BF-F0D0-42AE-87E2-FB8743E2F258}">
  <sheetPr codeName="Sheet6"/>
  <dimension ref="A1:X52"/>
  <sheetViews>
    <sheetView topLeftCell="A4" zoomScaleNormal="100" workbookViewId="0">
      <selection sqref="A1:B1"/>
    </sheetView>
  </sheetViews>
  <sheetFormatPr defaultRowHeight="18.75"/>
  <cols>
    <col min="1" max="2" width="12.5" customWidth="1"/>
    <col min="3" max="3" width="14.25" customWidth="1"/>
    <col min="4" max="9" width="14.25" bestFit="1" customWidth="1"/>
    <col min="10" max="10" width="14.25" customWidth="1"/>
    <col min="11" max="11" width="9" customWidth="1"/>
    <col min="12" max="12" width="12.5" customWidth="1"/>
    <col min="14" max="14" width="13.375" customWidth="1"/>
    <col min="15" max="15" width="8.75" customWidth="1"/>
    <col min="16" max="16" width="4.625" customWidth="1"/>
    <col min="20" max="20" width="10.25" bestFit="1" customWidth="1"/>
  </cols>
  <sheetData>
    <row r="1" spans="1:24" ht="32.1" customHeight="1" thickBot="1">
      <c r="A1" s="150" t="s">
        <v>2</v>
      </c>
      <c r="B1" s="151"/>
      <c r="C1" s="69" t="s">
        <v>3</v>
      </c>
      <c r="D1" s="70">
        <v>44263</v>
      </c>
      <c r="E1" s="70">
        <f>D1+1</f>
        <v>44264</v>
      </c>
      <c r="F1" s="71">
        <f t="shared" ref="F1:I1" si="0">E1+1</f>
        <v>44265</v>
      </c>
      <c r="G1" s="72">
        <f t="shared" si="0"/>
        <v>44266</v>
      </c>
      <c r="H1" s="70">
        <f t="shared" si="0"/>
        <v>44267</v>
      </c>
      <c r="I1" s="70">
        <f t="shared" si="0"/>
        <v>44268</v>
      </c>
      <c r="J1" s="73">
        <f>I1+1</f>
        <v>44269</v>
      </c>
      <c r="K1" s="1"/>
      <c r="L1" s="73" t="s">
        <v>95</v>
      </c>
      <c r="N1" s="73" t="s">
        <v>96</v>
      </c>
      <c r="R1" s="96" t="s">
        <v>91</v>
      </c>
    </row>
    <row r="2" spans="1:24" ht="32.1" customHeight="1" thickTop="1">
      <c r="A2" s="152" t="s">
        <v>0</v>
      </c>
      <c r="B2" s="111" t="s">
        <v>8</v>
      </c>
      <c r="C2" s="3" t="s">
        <v>12</v>
      </c>
      <c r="D2" s="4"/>
      <c r="E2" s="5"/>
      <c r="F2" s="45"/>
      <c r="G2" s="40"/>
      <c r="H2" s="5"/>
      <c r="I2" s="5"/>
      <c r="J2" s="74"/>
      <c r="K2" s="1"/>
      <c r="L2" s="74"/>
      <c r="N2" s="74"/>
      <c r="R2" s="96" t="s">
        <v>90</v>
      </c>
      <c r="X2" t="s">
        <v>24</v>
      </c>
    </row>
    <row r="3" spans="1:24" ht="31.5" customHeight="1">
      <c r="A3" s="152"/>
      <c r="B3" s="154" t="s">
        <v>9</v>
      </c>
      <c r="C3" s="157" t="s">
        <v>13</v>
      </c>
      <c r="D3" s="62" t="str">
        <f>IFERROR(INDEX( db!$A$2:$B$100, MATCH(
SUBSTITUTE(SUBSTITUTE(Sheet1!D3&amp;CHAR(10)&amp;"(～21:00)",CHAR(10),""),"(～21:00)",""),db!$B$2:$B$100, ),1),"")</f>
        <v/>
      </c>
      <c r="E3" s="62" t="str">
        <f>IFERROR(INDEX( db!$A$2:$B$100, MATCH(
SUBSTITUTE(SUBSTITUTE(Sheet1!E3&amp;CHAR(10)&amp;"(～21:00)",CHAR(10),""),"(～21:00)",""),db!$B$2:$B$100, ),1),"")</f>
        <v/>
      </c>
      <c r="F3" s="62" t="str">
        <f>IFERROR(INDEX( db!$A$2:$B$100, MATCH(
SUBSTITUTE(SUBSTITUTE(Sheet1!F3&amp;CHAR(10)&amp;"(～21:00)",CHAR(10),""),"(～21:00)",""),db!$B$2:$B$100, ),1),"")</f>
        <v/>
      </c>
      <c r="G3" s="62" t="str">
        <f>IFERROR(INDEX( db!$A$2:$B$100, MATCH(
SUBSTITUTE(SUBSTITUTE(Sheet1!G3&amp;CHAR(10)&amp;"(～21:00)",CHAR(10),""),"(～21:00)",""),db!$B$2:$B$100, ),1),"")</f>
        <v/>
      </c>
      <c r="H3" s="62" t="str">
        <f>IFERROR(INDEX( db!$A$2:$B$100, MATCH(
SUBSTITUTE(SUBSTITUTE(Sheet1!H3&amp;CHAR(10)&amp;"(～21:00)",CHAR(10),""),"(～21:00)",""),db!$B$2:$B$100, ),1),"")</f>
        <v/>
      </c>
      <c r="I3" s="62" t="str">
        <f>IFERROR(INDEX( db!$A$2:$B$100, MATCH(
SUBSTITUTE(SUBSTITUTE(Sheet1!I3&amp;CHAR(10)&amp;"(～21:00)",CHAR(10),""),"(～21:00)",""),db!$B$2:$B$100, ),1),"")</f>
        <v/>
      </c>
      <c r="J3" s="62" t="str">
        <f>IFERROR(INDEX( db!$A$2:$B$100, MATCH(
SUBSTITUTE(SUBSTITUTE(Sheet1!J3&amp;CHAR(10)&amp;"(～21:00)",CHAR(10),""),"(～21:00)",""),db!$B$2:$B$100, ),1),"")</f>
        <v/>
      </c>
      <c r="K3" s="1"/>
      <c r="L3" s="75" t="s">
        <v>98</v>
      </c>
      <c r="N3" s="75" t="s">
        <v>25</v>
      </c>
      <c r="R3" s="96" t="s">
        <v>89</v>
      </c>
      <c r="X3" t="s">
        <v>25</v>
      </c>
    </row>
    <row r="4" spans="1:24" ht="32.1" customHeight="1">
      <c r="A4" s="152"/>
      <c r="B4" s="155"/>
      <c r="C4" s="158"/>
      <c r="D4" s="127" t="str">
        <f>IFERROR(INDEX( db!$A$2:$B$100, MATCH(
SUBSTITUTE(SUBSTITUTE(Sheet1!D4&amp;CHAR(10)&amp;"(～21:00)",CHAR(10),""),"(～21:00)",""),
db!$B$2:$B$100, ),1),"")</f>
        <v/>
      </c>
      <c r="E4" s="132" t="str">
        <f>IFERROR(INDEX( db!$A$2:$B$100, MATCH(
SUBSTITUTE(SUBSTITUTE(Sheet1!E4&amp;CHAR(10)&amp;"(～21:00)",CHAR(10),""),"(～21:00)",""),
db!$B$2:$B$100, ),1),"")</f>
        <v/>
      </c>
      <c r="F4" s="132" t="str">
        <f>IFERROR(INDEX( db!$A$2:$B$100, MATCH(
SUBSTITUTE(SUBSTITUTE(Sheet1!F4&amp;CHAR(10)&amp;"(～21:00)",CHAR(10),""),"(～21:00)",""),
db!$B$2:$B$100, ),1),"")</f>
        <v/>
      </c>
      <c r="G4" s="132" t="str">
        <f>IFERROR(INDEX( db!$A$2:$B$100, MATCH(
SUBSTITUTE(SUBSTITUTE(Sheet1!G4&amp;CHAR(10)&amp;"(～21:00)",CHAR(10),""),"(～21:00)",""),
db!$B$2:$B$100, ),1),"")</f>
        <v/>
      </c>
      <c r="H4" s="132" t="str">
        <f>IFERROR(INDEX( db!$A$2:$B$100, MATCH(
SUBSTITUTE(SUBSTITUTE(Sheet1!H4&amp;CHAR(10)&amp;"(～21:00)",CHAR(10),""),"(～21:00)",""),
db!$B$2:$B$100, ),1),"")</f>
        <v/>
      </c>
      <c r="I4" s="132" t="str">
        <f>IFERROR(INDEX( db!$A$2:$B$100, MATCH(
SUBSTITUTE(SUBSTITUTE(Sheet1!I4&amp;CHAR(10)&amp;"(～21:00)",CHAR(10),""),"(～21:00)",""),
db!$B$2:$B$100, ),1),"")</f>
        <v/>
      </c>
      <c r="J4" s="132" t="str">
        <f>IFERROR(INDEX( db!$A$2:$B$100, MATCH(
SUBSTITUTE(SUBSTITUTE(Sheet1!J4&amp;CHAR(10)&amp;"(～21:00)",CHAR(10),""),"(～21:00)",""),
db!$B$2:$B$100, ),1),"")</f>
        <v/>
      </c>
      <c r="K4" s="1"/>
      <c r="L4" s="76" t="s">
        <v>99</v>
      </c>
      <c r="N4" s="76" t="s">
        <v>26</v>
      </c>
      <c r="R4" s="96" t="s">
        <v>88</v>
      </c>
      <c r="X4" t="s">
        <v>26</v>
      </c>
    </row>
    <row r="5" spans="1:24" ht="32.1" customHeight="1">
      <c r="A5" s="152"/>
      <c r="B5" s="154" t="s">
        <v>10</v>
      </c>
      <c r="C5" s="159" t="s">
        <v>14</v>
      </c>
      <c r="D5" s="126" t="str">
        <f>IFERROR(INDEX( db!$A$2:$B$100, MATCH(
SUBSTITUTE(SUBSTITUTE(Sheet1!D5&amp;CHAR(10)&amp;"(～21:00)",CHAR(10),""),"(～21:00)",""),db!$B$2:$B$100, ),1),"")</f>
        <v/>
      </c>
      <c r="E5" s="131" t="str">
        <f>IFERROR(INDEX( db!$A$2:$B$100, MATCH(
SUBSTITUTE(SUBSTITUTE(Sheet1!E5&amp;CHAR(10)&amp;"(～21:00)",CHAR(10),""),"(～21:00)",""),db!$B$2:$B$100, ),1),"")</f>
        <v/>
      </c>
      <c r="F5" s="131" t="str">
        <f>IFERROR(INDEX( db!$A$2:$B$100, MATCH(
SUBSTITUTE(SUBSTITUTE(Sheet1!F5&amp;CHAR(10)&amp;"(～21:00)",CHAR(10),""),"(～21:00)",""),db!$B$2:$B$100, ),1),"")</f>
        <v/>
      </c>
      <c r="G5" s="131" t="str">
        <f>IFERROR(INDEX( db!$A$2:$B$100, MATCH(
SUBSTITUTE(SUBSTITUTE(Sheet1!G5&amp;CHAR(10)&amp;"(～21:00)",CHAR(10),""),"(～21:00)",""),db!$B$2:$B$100, ),1),"")</f>
        <v/>
      </c>
      <c r="H5" s="131" t="str">
        <f>IFERROR(INDEX( db!$A$2:$B$100, MATCH(
SUBSTITUTE(SUBSTITUTE(Sheet1!H5&amp;CHAR(10)&amp;"(～21:00)",CHAR(10),""),"(～21:00)",""),db!$B$2:$B$100, ),1),"")</f>
        <v/>
      </c>
      <c r="I5" s="131" t="str">
        <f>IFERROR(INDEX( db!$A$2:$B$100, MATCH(
SUBSTITUTE(SUBSTITUTE(Sheet1!I5&amp;CHAR(10)&amp;"(～21:00)",CHAR(10),""),"(～21:00)",""),db!$B$2:$B$100, ),1),"")</f>
        <v/>
      </c>
      <c r="J5" s="131" t="str">
        <f>IFERROR(INDEX( db!$A$2:$B$100, MATCH(
SUBSTITUTE(SUBSTITUTE(Sheet1!J5&amp;CHAR(10)&amp;"(～21:00)",CHAR(10),""),"(～21:00)",""),db!$B$2:$B$100, ),1),"")</f>
        <v/>
      </c>
      <c r="K5" s="1"/>
      <c r="L5" s="100" t="s">
        <v>87</v>
      </c>
      <c r="M5" s="1"/>
      <c r="N5" s="100" t="s">
        <v>92</v>
      </c>
      <c r="O5" s="1"/>
      <c r="P5" s="97" t="str">
        <f>"↓"&amp;CHAR(10)&amp;"(～21:00)"</f>
        <v>↓
(～21:00)</v>
      </c>
      <c r="Q5" s="1"/>
      <c r="R5" s="96" t="s">
        <v>87</v>
      </c>
      <c r="X5" t="s">
        <v>27</v>
      </c>
    </row>
    <row r="6" spans="1:24" ht="32.1" customHeight="1" thickBot="1">
      <c r="A6" s="153"/>
      <c r="B6" s="156"/>
      <c r="C6" s="160"/>
      <c r="D6" s="109" t="str">
        <f>IFERROR(INDEX( db!$A$2:$B$100, MATCH(
SUBSTITUTE(SUBSTITUTE(Sheet1!D6&amp;CHAR(10)&amp;"(～21:00)",CHAR(10),""),"(～21:00)",""),db!$B$2:$B$100, ),1),"")</f>
        <v/>
      </c>
      <c r="E6" s="109" t="str">
        <f>IFERROR(INDEX( db!$A$2:$B$100, MATCH(
SUBSTITUTE(SUBSTITUTE(Sheet1!E6&amp;CHAR(10)&amp;"(～21:00)",CHAR(10),""),"(～21:00)",""),db!$B$2:$B$100, ),1),"")</f>
        <v/>
      </c>
      <c r="F6" s="109" t="str">
        <f>IFERROR(INDEX( db!$A$2:$B$100, MATCH(
SUBSTITUTE(SUBSTITUTE(Sheet1!F6&amp;CHAR(10)&amp;"(～21:00)",CHAR(10),""),"(～21:00)",""),db!$B$2:$B$100, ),1),"")</f>
        <v/>
      </c>
      <c r="G6" s="109" t="str">
        <f>IFERROR(INDEX( db!$A$2:$B$100, MATCH(
SUBSTITUTE(SUBSTITUTE(Sheet1!G6&amp;CHAR(10)&amp;"(～21:00)",CHAR(10),""),"(～21:00)",""),db!$B$2:$B$100, ),1),"")</f>
        <v/>
      </c>
      <c r="H6" s="109" t="str">
        <f>IFERROR(INDEX( db!$A$2:$B$100, MATCH(
SUBSTITUTE(SUBSTITUTE(Sheet1!H6&amp;CHAR(10)&amp;"(～21:00)",CHAR(10),""),"(～21:00)",""),db!$B$2:$B$100, ),1),"")</f>
        <v/>
      </c>
      <c r="I6" s="109" t="str">
        <f>IFERROR(INDEX( db!$A$2:$B$100, MATCH(
SUBSTITUTE(SUBSTITUTE(Sheet1!I6&amp;CHAR(10)&amp;"(～21:00)",CHAR(10),""),"(～21:00)",""),db!$B$2:$B$100, ),1),"")</f>
        <v/>
      </c>
      <c r="J6" s="109" t="str">
        <f>IFERROR(INDEX( db!$A$2:$B$100, MATCH(
SUBSTITUTE(SUBSTITUTE(Sheet1!J6&amp;CHAR(10)&amp;"(～21:00)",CHAR(10),""),"(～21:00)",""),db!$B$2:$B$100, ),1),"")</f>
        <v/>
      </c>
      <c r="K6" s="1"/>
      <c r="L6" s="112" t="s">
        <v>24</v>
      </c>
      <c r="M6" s="1"/>
      <c r="N6" s="112" t="s">
        <v>97</v>
      </c>
      <c r="O6" s="1"/>
      <c r="P6" s="1"/>
      <c r="Q6" s="1"/>
      <c r="R6" s="96" t="s">
        <v>86</v>
      </c>
      <c r="X6" t="s">
        <v>28</v>
      </c>
    </row>
    <row r="7" spans="1:24" ht="32.1" customHeight="1" thickTop="1">
      <c r="A7" s="161" t="s">
        <v>4</v>
      </c>
      <c r="B7" s="31" t="s">
        <v>15</v>
      </c>
      <c r="C7" s="61" t="s">
        <v>16</v>
      </c>
      <c r="D7" s="101"/>
      <c r="E7" s="102"/>
      <c r="F7" s="103"/>
      <c r="G7" s="104"/>
      <c r="H7" s="102"/>
      <c r="I7" s="105"/>
      <c r="J7" s="106"/>
      <c r="K7" s="1"/>
      <c r="L7" s="24"/>
      <c r="M7" s="1"/>
      <c r="N7" s="1"/>
      <c r="O7" s="1"/>
      <c r="P7" s="1"/>
      <c r="Q7" s="1"/>
      <c r="R7" s="96" t="s">
        <v>85</v>
      </c>
      <c r="X7" t="s">
        <v>29</v>
      </c>
    </row>
    <row r="8" spans="1:24" ht="32.1" customHeight="1">
      <c r="A8" s="162"/>
      <c r="B8" s="142" t="s">
        <v>5</v>
      </c>
      <c r="C8" s="146" t="s">
        <v>17</v>
      </c>
      <c r="D8" s="57" t="str">
        <f>IFERROR(INDEX( db!$A$2:$B$100, MATCH(
SUBSTITUTE(SUBSTITUTE(Sheet1!D8&amp;CHAR(10)&amp;"(～21:00)",CHAR(10),""),"(～21:00)",""),db!$B$2:$B$100, ),1),"")</f>
        <v/>
      </c>
      <c r="E8" s="57" t="str">
        <f>IFERROR(INDEX( db!$A$2:$B$100, MATCH(
SUBSTITUTE(SUBSTITUTE(Sheet1!E8&amp;CHAR(10)&amp;"(～21:00)",CHAR(10),""),"(～21:00)",""),db!$B$2:$B$100, ),1),"")</f>
        <v/>
      </c>
      <c r="F8" s="57" t="str">
        <f>IFERROR(INDEX( db!$A$2:$B$100, MATCH(
SUBSTITUTE(SUBSTITUTE(Sheet1!F8&amp;CHAR(10)&amp;"(～21:00)",CHAR(10),""),"(～21:00)",""),db!$B$2:$B$100, ),1),"")</f>
        <v/>
      </c>
      <c r="G8" s="57" t="str">
        <f>IFERROR(INDEX( db!$A$2:$B$100, MATCH(
SUBSTITUTE(SUBSTITUTE(Sheet1!G8&amp;CHAR(10)&amp;"(～21:00)",CHAR(10),""),"(～21:00)",""),db!$B$2:$B$100, ),1),"")</f>
        <v/>
      </c>
      <c r="H8" s="57" t="str">
        <f>IFERROR(INDEX( db!$A$2:$B$100, MATCH(
SUBSTITUTE(SUBSTITUTE(Sheet1!H8&amp;CHAR(10)&amp;"(～21:00)",CHAR(10),""),"(～21:00)",""),db!$B$2:$B$100, ),1),"")</f>
        <v/>
      </c>
      <c r="I8" s="57" t="str">
        <f>IFERROR(INDEX( db!$A$2:$B$100, MATCH(
SUBSTITUTE(SUBSTITUTE(Sheet1!I8&amp;CHAR(10)&amp;"(～21:00)",CHAR(10),""),"(～21:00)",""),db!$B$2:$B$100, ),1),"")</f>
        <v/>
      </c>
      <c r="J8" s="78"/>
      <c r="K8" s="1"/>
      <c r="L8" s="24"/>
      <c r="M8" s="1"/>
      <c r="N8" s="1"/>
      <c r="O8" s="1"/>
      <c r="P8" s="1"/>
      <c r="Q8" s="1"/>
      <c r="X8" t="s">
        <v>30</v>
      </c>
    </row>
    <row r="9" spans="1:24" ht="32.1" customHeight="1">
      <c r="A9" s="162"/>
      <c r="B9" s="143"/>
      <c r="C9" s="147"/>
      <c r="D9" s="134" t="str">
        <f>IFERROR(INDEX( db!$A$2:$B$100, MATCH(
SUBSTITUTE(SUBSTITUTE(Sheet1!D9&amp;CHAR(10)&amp;"(～21:00)",CHAR(10),""),"(～21:00)",""),db!$B$2:$B$100, ),1),"")</f>
        <v/>
      </c>
      <c r="E9" s="134" t="str">
        <f>IFERROR(INDEX( db!$A$2:$B$100, MATCH(
SUBSTITUTE(SUBSTITUTE(Sheet1!E9&amp;CHAR(10)&amp;"(～21:00)",CHAR(10),""),"(～21:00)",""),db!$B$2:$B$100, ),1),"")</f>
        <v/>
      </c>
      <c r="F9" s="134" t="str">
        <f>IFERROR(INDEX( db!$A$2:$B$100, MATCH(
SUBSTITUTE(SUBSTITUTE(Sheet1!F9&amp;CHAR(10)&amp;"(～21:00)",CHAR(10),""),"(～21:00)",""),db!$B$2:$B$100, ),1),"")</f>
        <v/>
      </c>
      <c r="G9" s="134" t="str">
        <f>IFERROR(INDEX( db!$A$2:$B$100, MATCH(
SUBSTITUTE(SUBSTITUTE(Sheet1!G9&amp;CHAR(10)&amp;"(～21:00)",CHAR(10),""),"(～21:00)",""),db!$B$2:$B$100, ),1),"")</f>
        <v/>
      </c>
      <c r="H9" s="134" t="str">
        <f>IFERROR(INDEX( db!$A$2:$B$100, MATCH(
SUBSTITUTE(SUBSTITUTE(Sheet1!H9&amp;CHAR(10)&amp;"(～21:00)",CHAR(10),""),"(～21:00)",""),db!$B$2:$B$100, ),1),"")</f>
        <v/>
      </c>
      <c r="I9" s="134" t="str">
        <f>IFERROR(INDEX( db!$A$2:$B$100, MATCH(
SUBSTITUTE(SUBSTITUTE(Sheet1!I9&amp;CHAR(10)&amp;"(～21:00)",CHAR(10),""),"(～21:00)",""),db!$B$2:$B$100, ),1),"")</f>
        <v/>
      </c>
      <c r="J9" s="79"/>
      <c r="K9" s="1"/>
      <c r="L9" s="24"/>
      <c r="M9" s="1"/>
      <c r="N9" s="1"/>
      <c r="O9" s="1"/>
      <c r="P9" s="1"/>
      <c r="Q9" s="1"/>
      <c r="T9" s="20">
        <f ca="1">TODAY()-WEEKDAY(TODAY(),2)+1+14</f>
        <v>44697</v>
      </c>
      <c r="X9" t="s">
        <v>31</v>
      </c>
    </row>
    <row r="10" spans="1:24" ht="32.1" customHeight="1">
      <c r="A10" s="162"/>
      <c r="B10" s="141" t="s">
        <v>1</v>
      </c>
      <c r="C10" s="148" t="str">
        <f>"(平)18:00～20:30)"&amp;CHAR(10)&amp;CHAR(10)&amp;"(土)18:00～20:00)"</f>
        <v>(平)18:00～20:30)
(土)18:00～20:00)</v>
      </c>
      <c r="D10" s="57" t="str">
        <f>IFERROR(INDEX( db!$A$2:$B$100, MATCH(
SUBSTITUTE(SUBSTITUTE(Sheet1!D10&amp;CHAR(10)&amp;"(～21:00)",CHAR(10),""),"(～21:00)",""),db!$B$2:$B$100, ),1),"")</f>
        <v/>
      </c>
      <c r="E10" s="57" t="str">
        <f>IFERROR(INDEX( db!$A$2:$B$100, MATCH(
SUBSTITUTE(SUBSTITUTE(Sheet1!E10&amp;CHAR(10)&amp;"(～21:00)",CHAR(10),""),"(～21:00)",""),db!$B$2:$B$100, ),1),"")</f>
        <v/>
      </c>
      <c r="F10" s="57" t="str">
        <f>IFERROR(INDEX( db!$A$2:$B$100, MATCH(
SUBSTITUTE(SUBSTITUTE(Sheet1!F10&amp;CHAR(10)&amp;"(～21:00)",CHAR(10),""),"(～21:00)",""),db!$B$2:$B$100, ),1),"")</f>
        <v/>
      </c>
      <c r="G10" s="57" t="str">
        <f>IFERROR(INDEX( db!$A$2:$B$100, MATCH(
SUBSTITUTE(SUBSTITUTE(Sheet1!G10&amp;CHAR(10)&amp;"(～21:00)",CHAR(10),""),"(～21:00)",""),db!$B$2:$B$100, ),1),"")</f>
        <v/>
      </c>
      <c r="H10" s="57" t="str">
        <f>IFERROR(INDEX( db!$A$2:$B$100, MATCH(
SUBSTITUTE(SUBSTITUTE(Sheet1!H10&amp;CHAR(10)&amp;"(～21:00)",CHAR(10),""),"(～21:00)",""),db!$B$2:$B$100, ),1),"")</f>
        <v/>
      </c>
      <c r="I10" s="57" t="str">
        <f>IFERROR(INDEX( db!$A$2:$B$100, MATCH(
SUBSTITUTE(SUBSTITUTE(Sheet1!I10&amp;CHAR(10)&amp;"(～21:00)",CHAR(10),""),"(～21:00)",""),db!$B$2:$B$100, ),1),"")</f>
        <v/>
      </c>
      <c r="J10" s="80"/>
      <c r="K10" s="1"/>
      <c r="L10" s="24"/>
      <c r="M10" s="1"/>
      <c r="N10" s="1"/>
      <c r="O10" s="1"/>
      <c r="P10" s="97" t="str">
        <f>"↓"&amp;CHAR(10)&amp;"(～20:30)"</f>
        <v>↓
(～20:30)</v>
      </c>
      <c r="Q10" s="1"/>
      <c r="X10" t="s">
        <v>32</v>
      </c>
    </row>
    <row r="11" spans="1:24" ht="32.1" customHeight="1" thickBot="1">
      <c r="A11" s="162"/>
      <c r="B11" s="142"/>
      <c r="C11" s="149"/>
      <c r="D11" s="57" t="str">
        <f>IFERROR(INDEX( db!$A$2:$B$100, MATCH(
SUBSTITUTE(SUBSTITUTE(Sheet1!D11&amp;CHAR(10)&amp;"(～21:00)",CHAR(10),""),"(～21:00)",""),db!$B$2:$B$100, ),1),"")</f>
        <v/>
      </c>
      <c r="E11" s="57" t="str">
        <f>IFERROR(INDEX( db!$A$2:$B$100, MATCH(
SUBSTITUTE(SUBSTITUTE(Sheet1!E11&amp;CHAR(10)&amp;"(～21:00)",CHAR(10),""),"(～21:00)",""),db!$B$2:$B$100, ),1),"")</f>
        <v/>
      </c>
      <c r="F11" s="57" t="str">
        <f>IFERROR(INDEX( db!$A$2:$B$100, MATCH(
SUBSTITUTE(SUBSTITUTE(Sheet1!F11&amp;CHAR(10)&amp;"(～21:00)",CHAR(10),""),"(～21:00)",""),db!$B$2:$B$100, ),1),"")</f>
        <v/>
      </c>
      <c r="G11" s="57" t="str">
        <f>IFERROR(INDEX( db!$A$2:$B$100, MATCH(
SUBSTITUTE(SUBSTITUTE(Sheet1!G11&amp;CHAR(10)&amp;"(～21:00)",CHAR(10),""),"(～21:00)",""),db!$B$2:$B$100, ),1),"")</f>
        <v/>
      </c>
      <c r="H11" s="57" t="str">
        <f>IFERROR(INDEX( db!$A$2:$B$100, MATCH(
SUBSTITUTE(SUBSTITUTE(Sheet1!H11&amp;CHAR(10)&amp;"(～21:00)",CHAR(10),""),"(～21:00)",""),db!$B$2:$B$100, ),1),"")</f>
        <v/>
      </c>
      <c r="I11" s="57" t="str">
        <f>IFERROR(INDEX( db!$A$2:$B$100, MATCH(
SUBSTITUTE(SUBSTITUTE(Sheet1!I11&amp;CHAR(10)&amp;"(～21:00)",CHAR(10),""),"(～21:00)",""),db!$B$2:$B$100, ),1),"")</f>
        <v/>
      </c>
      <c r="J11" s="81"/>
      <c r="K11" s="1"/>
      <c r="L11" s="24"/>
      <c r="M11" s="1"/>
      <c r="N11" s="1"/>
      <c r="O11" s="1"/>
      <c r="P11" s="1"/>
      <c r="Q11" s="1"/>
      <c r="X11" t="s">
        <v>33</v>
      </c>
    </row>
    <row r="12" spans="1:24" ht="32.1" customHeight="1" thickTop="1" thickBot="1">
      <c r="A12" s="139" t="s">
        <v>7</v>
      </c>
      <c r="B12" s="140"/>
      <c r="C12" s="7" t="s">
        <v>17</v>
      </c>
      <c r="D12" s="8"/>
      <c r="E12" s="8"/>
      <c r="F12" s="48"/>
      <c r="G12" s="12"/>
      <c r="H12" s="8"/>
      <c r="I12" s="9"/>
      <c r="J12" s="82"/>
      <c r="K12" s="1"/>
      <c r="L12" s="25"/>
      <c r="M12" s="1"/>
      <c r="N12" s="1"/>
      <c r="O12" s="1"/>
      <c r="P12" s="1"/>
      <c r="Q12" s="1"/>
      <c r="X12" t="s">
        <v>51</v>
      </c>
    </row>
    <row r="13" spans="1:24" ht="32.1" customHeight="1" thickTop="1" thickBot="1">
      <c r="A13" s="139" t="s">
        <v>11</v>
      </c>
      <c r="B13" s="140"/>
      <c r="C13" s="10" t="s">
        <v>18</v>
      </c>
      <c r="D13" s="13"/>
      <c r="E13" s="8"/>
      <c r="F13" s="48"/>
      <c r="G13" s="12"/>
      <c r="H13" s="8"/>
      <c r="I13" s="11"/>
      <c r="J13" s="82"/>
      <c r="K13" s="1"/>
      <c r="L13" s="24"/>
      <c r="O13" s="1"/>
      <c r="X13" t="s">
        <v>34</v>
      </c>
    </row>
    <row r="14" spans="1:24" ht="32.1" customHeight="1" thickTop="1" thickBot="1">
      <c r="A14" s="144" t="str">
        <f>"桂上り(平日)"&amp;CHAR(10)&amp;"桂下り(土曜)"</f>
        <v>桂上り(平日)
桂下り(土曜)</v>
      </c>
      <c r="B14" s="145"/>
      <c r="C14" s="21" t="str">
        <f>"(平)18:00～21:00"&amp;CHAR(10)&amp;"(土)17:00～19:00"</f>
        <v>(平)18:00～21:00
(土)17:00～19:00</v>
      </c>
      <c r="D14" s="32"/>
      <c r="E14" s="32"/>
      <c r="F14" s="49"/>
      <c r="G14" s="42"/>
      <c r="H14" s="32"/>
      <c r="I14" s="32"/>
      <c r="J14" s="83"/>
      <c r="K14" s="1"/>
      <c r="L14" s="24"/>
      <c r="X14" t="s">
        <v>35</v>
      </c>
    </row>
    <row r="15" spans="1:24" ht="32.1" customHeight="1" thickTop="1" thickBot="1">
      <c r="A15" s="116"/>
      <c r="B15" s="33" t="str">
        <f>IF(A15="年休","","見習")</f>
        <v>見習</v>
      </c>
      <c r="C15" s="34"/>
      <c r="D15" s="27"/>
      <c r="E15" s="35"/>
      <c r="F15" s="50"/>
      <c r="G15" s="33"/>
      <c r="H15" s="35"/>
      <c r="I15" s="35"/>
      <c r="J15" s="85"/>
      <c r="K15" s="1"/>
      <c r="L15" s="24"/>
      <c r="N15" t="s">
        <v>52</v>
      </c>
      <c r="X15" t="s">
        <v>36</v>
      </c>
    </row>
    <row r="16" spans="1:24" ht="32.1" customHeight="1" thickTop="1" thickBot="1">
      <c r="A16" s="116"/>
      <c r="B16" s="33" t="str">
        <f t="shared" ref="B16:B22" si="1">IF(A16="年休","","見習")</f>
        <v>見習</v>
      </c>
      <c r="C16" s="128"/>
      <c r="D16" s="27"/>
      <c r="E16" s="15"/>
      <c r="F16" s="51"/>
      <c r="G16" s="43"/>
      <c r="H16" s="15"/>
      <c r="I16" s="15"/>
      <c r="J16" s="77"/>
      <c r="K16" s="1"/>
      <c r="L16" s="24"/>
      <c r="N16" t="s">
        <v>52</v>
      </c>
      <c r="X16" t="s">
        <v>37</v>
      </c>
    </row>
    <row r="17" spans="1:24" ht="32.1" customHeight="1" thickTop="1" thickBot="1">
      <c r="A17" s="116"/>
      <c r="B17" s="68" t="str">
        <f t="shared" si="1"/>
        <v>見習</v>
      </c>
      <c r="C17" s="36"/>
      <c r="D17" s="27"/>
      <c r="E17" s="27"/>
      <c r="F17" s="52"/>
      <c r="G17" s="37"/>
      <c r="H17" s="27"/>
      <c r="I17" s="27"/>
      <c r="J17" s="88"/>
      <c r="K17" s="1"/>
      <c r="L17" s="25"/>
      <c r="N17" t="s">
        <v>52</v>
      </c>
      <c r="X17" t="s">
        <v>38</v>
      </c>
    </row>
    <row r="18" spans="1:24" ht="32.1" customHeight="1" thickTop="1" thickBot="1">
      <c r="A18" s="116"/>
      <c r="B18" s="33" t="str">
        <f t="shared" si="1"/>
        <v>見習</v>
      </c>
      <c r="C18" s="38"/>
      <c r="D18" s="39"/>
      <c r="E18" s="39"/>
      <c r="F18" s="53"/>
      <c r="G18" s="56"/>
      <c r="H18" s="39"/>
      <c r="I18" s="35"/>
      <c r="J18" s="89"/>
      <c r="K18" s="1"/>
      <c r="L18" s="24"/>
      <c r="N18" t="s">
        <v>52</v>
      </c>
      <c r="X18" t="s">
        <v>39</v>
      </c>
    </row>
    <row r="19" spans="1:24" ht="32.1" customHeight="1" thickTop="1" thickBot="1">
      <c r="A19" s="116"/>
      <c r="B19" s="33" t="str">
        <f t="shared" si="1"/>
        <v>見習</v>
      </c>
      <c r="C19" s="14"/>
      <c r="D19" s="15"/>
      <c r="E19" s="15"/>
      <c r="F19" s="54"/>
      <c r="G19" s="43"/>
      <c r="H19" s="15"/>
      <c r="I19" s="15"/>
      <c r="J19" s="90"/>
      <c r="K19" s="1"/>
      <c r="L19" s="25"/>
      <c r="N19" t="s">
        <v>52</v>
      </c>
      <c r="X19" t="s">
        <v>37</v>
      </c>
    </row>
    <row r="20" spans="1:24" ht="32.1" customHeight="1" thickTop="1" thickBot="1">
      <c r="A20" s="116"/>
      <c r="B20" s="33" t="str">
        <f t="shared" si="1"/>
        <v>見習</v>
      </c>
      <c r="C20" s="10"/>
      <c r="D20" s="27"/>
      <c r="E20" s="8"/>
      <c r="F20" s="48"/>
      <c r="G20" s="12"/>
      <c r="H20" s="8"/>
      <c r="I20" s="8"/>
      <c r="J20" s="92"/>
      <c r="K20" s="1"/>
      <c r="L20" s="25"/>
      <c r="N20" t="s">
        <v>52</v>
      </c>
      <c r="X20" t="s">
        <v>40</v>
      </c>
    </row>
    <row r="21" spans="1:24" ht="32.1" customHeight="1" thickTop="1" thickBot="1">
      <c r="A21" s="116"/>
      <c r="B21" s="33" t="str">
        <f t="shared" si="1"/>
        <v>見習</v>
      </c>
      <c r="C21" s="29"/>
      <c r="D21" s="27"/>
      <c r="E21" s="26"/>
      <c r="F21" s="55"/>
      <c r="G21" s="44"/>
      <c r="H21" s="26"/>
      <c r="I21" s="26"/>
      <c r="J21" s="94"/>
      <c r="K21" s="1"/>
      <c r="L21" s="25"/>
      <c r="N21" t="s">
        <v>52</v>
      </c>
      <c r="X21" t="s">
        <v>41</v>
      </c>
    </row>
    <row r="22" spans="1:24" ht="30" customHeight="1" thickTop="1" thickBot="1">
      <c r="A22" s="93"/>
      <c r="B22" s="95" t="str">
        <f t="shared" si="1"/>
        <v>見習</v>
      </c>
      <c r="C22" s="29"/>
      <c r="D22" s="26"/>
      <c r="E22" s="26"/>
      <c r="F22" s="55"/>
      <c r="G22" s="44"/>
      <c r="H22" s="26"/>
      <c r="I22" s="26"/>
      <c r="J22" s="94"/>
      <c r="K22" s="1"/>
      <c r="L22" s="25"/>
      <c r="N22" t="s">
        <v>52</v>
      </c>
      <c r="X22" t="s">
        <v>42</v>
      </c>
    </row>
    <row r="23" spans="1:24" ht="18.75" customHeight="1">
      <c r="A23" s="24"/>
      <c r="B23" s="24"/>
      <c r="C23" s="28"/>
      <c r="F23" s="24"/>
      <c r="G23" s="25"/>
      <c r="H23" s="25"/>
      <c r="I23" s="25"/>
      <c r="J23" s="25"/>
      <c r="K23" s="1"/>
      <c r="L23" s="65"/>
      <c r="N23" t="str">
        <f>IF(A23="年休","","※年休欄,曜日に名前を入れると年休が自動表示される")</f>
        <v>※年休欄,曜日に名前を入れると年休が自動表示される</v>
      </c>
      <c r="X23" t="s">
        <v>43</v>
      </c>
    </row>
    <row r="24" spans="1:24" ht="18.75" customHeight="1">
      <c r="A24" s="24" t="str">
        <f t="shared" ref="A24:A40" si="2">IF(COUNTIF(C24:J24,"&lt;&gt;")=0,"","年休")</f>
        <v/>
      </c>
      <c r="B24" s="24"/>
      <c r="C24" s="28"/>
      <c r="F24" s="25"/>
      <c r="G24" s="25"/>
      <c r="H24" s="25"/>
      <c r="I24" s="25"/>
      <c r="J24" s="25"/>
      <c r="K24" s="1"/>
      <c r="L24" s="25"/>
      <c r="N24" t="str">
        <f t="shared" ref="N24:N40" si="3">IF(A24="年休","","※年休欄,曜日に名前を入れると年休が自動表示される")</f>
        <v>※年休欄,曜日に名前を入れると年休が自動表示される</v>
      </c>
      <c r="X24" t="s">
        <v>44</v>
      </c>
    </row>
    <row r="25" spans="1:24" ht="18.75" customHeight="1">
      <c r="A25" s="24" t="str">
        <f t="shared" si="2"/>
        <v/>
      </c>
      <c r="B25" s="24"/>
      <c r="C25" s="28"/>
      <c r="F25" s="25"/>
      <c r="G25" s="25"/>
      <c r="H25" s="25"/>
      <c r="I25" s="25"/>
      <c r="J25" s="25"/>
      <c r="K25" s="1"/>
      <c r="L25" s="25"/>
      <c r="N25" t="str">
        <f t="shared" si="3"/>
        <v>※年休欄,曜日に名前を入れると年休が自動表示される</v>
      </c>
      <c r="X25" t="s">
        <v>45</v>
      </c>
    </row>
    <row r="26" spans="1:24" ht="18.75" customHeight="1">
      <c r="A26" s="24" t="str">
        <f t="shared" si="2"/>
        <v/>
      </c>
      <c r="B26" s="22"/>
      <c r="C26" s="1"/>
      <c r="D26" s="1"/>
      <c r="F26" s="1"/>
      <c r="G26" s="1"/>
      <c r="H26" s="1"/>
      <c r="I26" s="1"/>
      <c r="J26" s="1"/>
      <c r="K26" s="1"/>
      <c r="L26" s="25"/>
      <c r="N26" t="str">
        <f t="shared" si="3"/>
        <v>※年休欄,曜日に名前を入れると年休が自動表示される</v>
      </c>
      <c r="X26" t="s">
        <v>46</v>
      </c>
    </row>
    <row r="27" spans="1:24" ht="18.75" customHeight="1">
      <c r="A27" s="24" t="str">
        <f t="shared" si="2"/>
        <v/>
      </c>
      <c r="B27" s="22"/>
      <c r="C27" s="1"/>
      <c r="D27" s="1"/>
      <c r="F27" s="1"/>
      <c r="G27" s="1"/>
      <c r="H27" s="1"/>
      <c r="I27" s="1"/>
      <c r="J27" s="1"/>
      <c r="K27" s="1"/>
      <c r="N27" t="str">
        <f t="shared" si="3"/>
        <v>※年休欄,曜日に名前を入れると年休が自動表示される</v>
      </c>
      <c r="X27" t="s">
        <v>47</v>
      </c>
    </row>
    <row r="28" spans="1:24" ht="18.75" customHeight="1">
      <c r="A28" s="24" t="str">
        <f t="shared" si="2"/>
        <v/>
      </c>
      <c r="B28" s="22"/>
      <c r="C28" s="1"/>
      <c r="D28" s="1"/>
      <c r="N28" t="str">
        <f t="shared" si="3"/>
        <v>※年休欄,曜日に名前を入れると年休が自動表示される</v>
      </c>
      <c r="X28" t="s">
        <v>48</v>
      </c>
    </row>
    <row r="29" spans="1:24" ht="18.75" customHeight="1">
      <c r="A29" s="24" t="str">
        <f t="shared" si="2"/>
        <v/>
      </c>
      <c r="B29" s="22"/>
      <c r="N29" t="str">
        <f t="shared" si="3"/>
        <v>※年休欄,曜日に名前を入れると年休が自動表示される</v>
      </c>
      <c r="X29" t="s">
        <v>49</v>
      </c>
    </row>
    <row r="30" spans="1:24" ht="18.75" customHeight="1">
      <c r="A30" s="24" t="str">
        <f t="shared" si="2"/>
        <v/>
      </c>
      <c r="B30" s="22"/>
      <c r="N30" t="str">
        <f t="shared" si="3"/>
        <v>※年休欄,曜日に名前を入れると年休が自動表示される</v>
      </c>
    </row>
    <row r="31" spans="1:24" ht="18.75" customHeight="1">
      <c r="A31" s="24" t="str">
        <f t="shared" si="2"/>
        <v/>
      </c>
      <c r="B31" s="22"/>
      <c r="N31" t="str">
        <f t="shared" si="3"/>
        <v>※年休欄,曜日に名前を入れると年休が自動表示される</v>
      </c>
    </row>
    <row r="32" spans="1:24" ht="18.75" customHeight="1">
      <c r="A32" s="24" t="str">
        <f t="shared" si="2"/>
        <v/>
      </c>
      <c r="B32" s="22"/>
      <c r="N32" t="str">
        <f t="shared" si="3"/>
        <v>※年休欄,曜日に名前を入れると年休が自動表示される</v>
      </c>
    </row>
    <row r="33" spans="1:14" ht="18.75" customHeight="1">
      <c r="A33" s="24" t="str">
        <f t="shared" si="2"/>
        <v/>
      </c>
      <c r="B33" s="22"/>
      <c r="N33" t="str">
        <f t="shared" si="3"/>
        <v>※年休欄,曜日に名前を入れると年休が自動表示される</v>
      </c>
    </row>
    <row r="34" spans="1:14" ht="18.75" customHeight="1">
      <c r="A34" s="24" t="str">
        <f t="shared" si="2"/>
        <v/>
      </c>
      <c r="N34" t="str">
        <f t="shared" si="3"/>
        <v>※年休欄,曜日に名前を入れると年休が自動表示される</v>
      </c>
    </row>
    <row r="35" spans="1:14" ht="18.75" customHeight="1">
      <c r="A35" s="24" t="str">
        <f t="shared" si="2"/>
        <v/>
      </c>
      <c r="N35" t="str">
        <f t="shared" si="3"/>
        <v>※年休欄,曜日に名前を入れると年休が自動表示される</v>
      </c>
    </row>
    <row r="36" spans="1:14" ht="18.75" customHeight="1">
      <c r="A36" s="24" t="str">
        <f t="shared" si="2"/>
        <v/>
      </c>
      <c r="N36" t="str">
        <f t="shared" si="3"/>
        <v>※年休欄,曜日に名前を入れると年休が自動表示される</v>
      </c>
    </row>
    <row r="37" spans="1:14" ht="18.75" customHeight="1">
      <c r="A37" s="24" t="str">
        <f t="shared" si="2"/>
        <v/>
      </c>
      <c r="N37" t="str">
        <f t="shared" si="3"/>
        <v>※年休欄,曜日に名前を入れると年休が自動表示される</v>
      </c>
    </row>
    <row r="38" spans="1:14" ht="18.75" customHeight="1">
      <c r="A38" s="24" t="str">
        <f t="shared" si="2"/>
        <v/>
      </c>
      <c r="N38" t="str">
        <f t="shared" si="3"/>
        <v>※年休欄,曜日に名前を入れると年休が自動表示される</v>
      </c>
    </row>
    <row r="39" spans="1:14" ht="18.75" customHeight="1">
      <c r="A39" s="24" t="str">
        <f t="shared" si="2"/>
        <v/>
      </c>
      <c r="N39" t="str">
        <f t="shared" si="3"/>
        <v>※年休欄,曜日に名前を入れると年休が自動表示される</v>
      </c>
    </row>
    <row r="40" spans="1:14" ht="18.75" customHeight="1">
      <c r="A40" s="24" t="str">
        <f t="shared" si="2"/>
        <v/>
      </c>
      <c r="N40" t="str">
        <f t="shared" si="3"/>
        <v>※年休欄,曜日に名前を入れると年休が自動表示される</v>
      </c>
    </row>
    <row r="41" spans="1:14" ht="18.75" customHeight="1"/>
    <row r="42" spans="1:14" ht="18.75" customHeight="1">
      <c r="D42" s="24"/>
    </row>
    <row r="43" spans="1:14" ht="18.75" customHeight="1">
      <c r="D43" s="24"/>
    </row>
    <row r="44" spans="1:14" ht="18.75" customHeight="1"/>
    <row r="45" spans="1:14" ht="18.75" customHeight="1"/>
    <row r="46" spans="1:14" ht="18.75" customHeight="1"/>
    <row r="47" spans="1:14" ht="18.75" customHeight="1"/>
    <row r="48" spans="1:14" ht="18.75" customHeight="1"/>
    <row r="49" ht="18.75" customHeight="1"/>
    <row r="50" ht="18.75" customHeight="1"/>
    <row r="51" ht="18.75" customHeight="1"/>
    <row r="52" ht="18.75" customHeight="1"/>
  </sheetData>
  <mergeCells count="14">
    <mergeCell ref="A1:B1"/>
    <mergeCell ref="A2:A6"/>
    <mergeCell ref="B3:B4"/>
    <mergeCell ref="C3:C4"/>
    <mergeCell ref="B5:B6"/>
    <mergeCell ref="C5:C6"/>
    <mergeCell ref="A13:B13"/>
    <mergeCell ref="A14:B14"/>
    <mergeCell ref="A7:A11"/>
    <mergeCell ref="B8:B9"/>
    <mergeCell ref="C8:C9"/>
    <mergeCell ref="B10:B11"/>
    <mergeCell ref="C10:C11"/>
    <mergeCell ref="A12:B12"/>
  </mergeCells>
  <phoneticPr fontId="1"/>
  <dataValidations count="2">
    <dataValidation type="whole" operator="greaterThan" allowBlank="1" showInputMessage="1" errorTitle="入力エラー" error="入社順になっていません" sqref="D4:J4" xr:uid="{287AB030-CF78-4308-8DC1-F6A6BCDAC21A}">
      <formula1>D3</formula1>
    </dataValidation>
    <dataValidation allowBlank="1" showInputMessage="1" sqref="D3:J3" xr:uid="{97955866-E199-40C8-832C-3ECC11BE4769}"/>
  </dataValidations>
  <pageMargins left="0.7" right="0.7" top="0.75" bottom="0.75" header="0.3" footer="0.3"/>
  <pageSetup paperSize="9" orientation="portrait" horizontalDpi="360" verticalDpi="360" r:id="rId1"/>
  <legacyDrawing r:id="rId2"/>
  <extLst>
    <ext xmlns:x14="http://schemas.microsoft.com/office/spreadsheetml/2009/9/main" uri="{CCE6A557-97BC-4b89-ADB6-D9C93CAAB3DF}">
      <x14:dataValidations xmlns:xm="http://schemas.microsoft.com/office/excel/2006/main" count="7">
        <x14:dataValidation type="list" allowBlank="1" showInputMessage="1" xr:uid="{63B74C30-9A70-445B-8E0B-8CA5BADD67BA}">
          <x14:formula1>
            <xm:f>データ処理部!$D$8</xm:f>
          </x14:formula1>
          <xm:sqref>D8:I11</xm:sqref>
        </x14:dataValidation>
        <x14:dataValidation type="list" allowBlank="1" showInputMessage="1" xr:uid="{8DE50323-265D-47FE-A99C-688DC366D02D}">
          <x14:formula1>
            <xm:f>データ処理部!$L$4</xm:f>
          </x14:formula1>
          <xm:sqref>L4</xm:sqref>
        </x14:dataValidation>
        <x14:dataValidation type="list" allowBlank="1" showInputMessage="1" xr:uid="{A4C0616E-1883-4EE9-8787-85AC4C713A4E}">
          <x14:formula1>
            <xm:f>データ処理部!$L$3</xm:f>
          </x14:formula1>
          <xm:sqref>L3</xm:sqref>
        </x14:dataValidation>
        <x14:dataValidation type="list" allowBlank="1" showInputMessage="1" xr:uid="{5E8B781B-F41A-4589-95F6-CDED4B7AC9F2}">
          <x14:formula1>
            <xm:f>データ処理部!$D$7</xm:f>
          </x14:formula1>
          <xm:sqref>D7</xm:sqref>
        </x14:dataValidation>
        <x14:dataValidation type="list" allowBlank="1" promptTitle="注意" prompt="ロングの場合は_x000a_プルダウンから選択" xr:uid="{15F95658-850E-49E6-94C3-4C2DC8D1ACD8}">
          <x14:formula1>
            <xm:f>データ処理部!$N$6</xm:f>
          </x14:formula1>
          <xm:sqref>N5:N6</xm:sqref>
        </x14:dataValidation>
        <x14:dataValidation type="list" allowBlank="1" promptTitle="注意" prompt="ロングの場合は_x000a_プルダウンから選択" xr:uid="{33811E20-A6CD-4B13-9FC7-1F0E08C9B47F}">
          <x14:formula1>
            <xm:f>データ処理部!$L$6</xm:f>
          </x14:formula1>
          <xm:sqref>L6</xm:sqref>
        </x14:dataValidation>
        <x14:dataValidation type="list" allowBlank="1" promptTitle="注意" prompt="ロングの場合は_x000a_プルダウンから選択" xr:uid="{71867EDA-074B-4845-AFC7-FA375207667C}">
          <x14:formula1>
            <xm:f>データ処理部!$L$5</xm:f>
          </x14:formula1>
          <xm:sqref>L5</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ED9759-1A45-4AF0-AC31-85543F2B8FB2}">
  <sheetPr codeName="Sheet5"/>
  <dimension ref="A1:I45"/>
  <sheetViews>
    <sheetView zoomScale="115" zoomScaleNormal="115" workbookViewId="0">
      <selection activeCell="O19" sqref="O19"/>
    </sheetView>
  </sheetViews>
  <sheetFormatPr defaultRowHeight="18.75"/>
  <cols>
    <col min="1" max="1" width="22.75" customWidth="1"/>
    <col min="3" max="3" width="11.375" customWidth="1"/>
  </cols>
  <sheetData>
    <row r="1" spans="1:9">
      <c r="C1" s="70" t="s">
        <v>123</v>
      </c>
      <c r="D1" s="70" t="s">
        <v>124</v>
      </c>
      <c r="E1" s="70" t="s">
        <v>125</v>
      </c>
      <c r="F1" s="70" t="s">
        <v>126</v>
      </c>
      <c r="G1" s="70" t="s">
        <v>127</v>
      </c>
      <c r="H1" s="70" t="s">
        <v>128</v>
      </c>
      <c r="I1" s="70" t="s">
        <v>129</v>
      </c>
    </row>
    <row r="2" spans="1:9">
      <c r="A2" s="96" t="s">
        <v>91</v>
      </c>
      <c r="C2" s="16" t="str">
        <f>$A2&amp;" "&amp;C$1</f>
        <v>塚原 月</v>
      </c>
      <c r="D2" s="16" t="str">
        <f t="shared" ref="D2:I17" si="0">$A2&amp;" "&amp;D$1</f>
        <v>塚原 火</v>
      </c>
      <c r="E2" s="16" t="str">
        <f t="shared" si="0"/>
        <v>塚原 水</v>
      </c>
      <c r="F2" s="16" t="str">
        <f t="shared" si="0"/>
        <v>塚原 木</v>
      </c>
      <c r="G2" s="16" t="str">
        <f t="shared" si="0"/>
        <v>塚原 金</v>
      </c>
      <c r="H2" s="16" t="str">
        <f t="shared" si="0"/>
        <v>塚原 土</v>
      </c>
      <c r="I2" s="16" t="str">
        <f t="shared" si="0"/>
        <v>塚原 日</v>
      </c>
    </row>
    <row r="3" spans="1:9">
      <c r="A3" s="96" t="s">
        <v>90</v>
      </c>
      <c r="C3" s="16" t="str">
        <f t="shared" ref="C3:I44" si="1">$A3&amp;" "&amp;C$1</f>
        <v>土田 月</v>
      </c>
      <c r="D3" s="16" t="str">
        <f t="shared" si="0"/>
        <v>土田 火</v>
      </c>
      <c r="E3" s="16" t="str">
        <f t="shared" si="0"/>
        <v>土田 水</v>
      </c>
      <c r="F3" s="16" t="str">
        <f t="shared" si="0"/>
        <v>土田 木</v>
      </c>
      <c r="G3" s="16" t="str">
        <f t="shared" si="0"/>
        <v>土田 金</v>
      </c>
      <c r="H3" s="16" t="str">
        <f t="shared" si="0"/>
        <v>土田 土</v>
      </c>
      <c r="I3" s="16" t="str">
        <f t="shared" si="0"/>
        <v>土田 日</v>
      </c>
    </row>
    <row r="4" spans="1:9">
      <c r="A4" s="96" t="s">
        <v>89</v>
      </c>
      <c r="C4" s="16" t="str">
        <f t="shared" si="1"/>
        <v>菅井 月</v>
      </c>
      <c r="D4" s="16" t="str">
        <f t="shared" si="0"/>
        <v>菅井 火</v>
      </c>
      <c r="E4" s="16" t="str">
        <f t="shared" si="0"/>
        <v>菅井 水</v>
      </c>
      <c r="F4" s="16" t="str">
        <f t="shared" si="0"/>
        <v>菅井 木</v>
      </c>
      <c r="G4" s="16" t="str">
        <f t="shared" si="0"/>
        <v>菅井 金</v>
      </c>
      <c r="H4" s="16" t="str">
        <f t="shared" si="0"/>
        <v>菅井 土</v>
      </c>
      <c r="I4" s="16" t="str">
        <f t="shared" si="0"/>
        <v>菅井 日</v>
      </c>
    </row>
    <row r="5" spans="1:9">
      <c r="A5" s="96" t="s">
        <v>88</v>
      </c>
      <c r="C5" s="16" t="str">
        <f t="shared" si="1"/>
        <v>三谷 月</v>
      </c>
      <c r="D5" s="16" t="str">
        <f t="shared" si="0"/>
        <v>三谷 火</v>
      </c>
      <c r="E5" s="16" t="str">
        <f t="shared" si="0"/>
        <v>三谷 水</v>
      </c>
      <c r="F5" s="16" t="str">
        <f t="shared" si="0"/>
        <v>三谷 木</v>
      </c>
      <c r="G5" s="16" t="str">
        <f t="shared" si="0"/>
        <v>三谷 金</v>
      </c>
      <c r="H5" s="16" t="str">
        <f t="shared" si="0"/>
        <v>三谷 土</v>
      </c>
      <c r="I5" s="16" t="str">
        <f t="shared" si="0"/>
        <v>三谷 日</v>
      </c>
    </row>
    <row r="6" spans="1:9">
      <c r="A6" s="96" t="s">
        <v>87</v>
      </c>
      <c r="C6" s="16" t="str">
        <f t="shared" si="1"/>
        <v>黒木 月</v>
      </c>
      <c r="D6" s="16" t="str">
        <f t="shared" si="0"/>
        <v>黒木 火</v>
      </c>
      <c r="E6" s="16" t="str">
        <f t="shared" si="0"/>
        <v>黒木 水</v>
      </c>
      <c r="F6" s="16" t="str">
        <f t="shared" si="0"/>
        <v>黒木 木</v>
      </c>
      <c r="G6" s="16" t="str">
        <f t="shared" si="0"/>
        <v>黒木 金</v>
      </c>
      <c r="H6" s="16" t="str">
        <f t="shared" si="0"/>
        <v>黒木 土</v>
      </c>
      <c r="I6" s="16" t="str">
        <f t="shared" si="0"/>
        <v>黒木 日</v>
      </c>
    </row>
    <row r="7" spans="1:9">
      <c r="A7" s="96" t="s">
        <v>86</v>
      </c>
      <c r="C7" s="16" t="str">
        <f t="shared" si="1"/>
        <v>相良 月</v>
      </c>
      <c r="D7" s="16" t="str">
        <f t="shared" si="0"/>
        <v>相良 火</v>
      </c>
      <c r="E7" s="16" t="str">
        <f t="shared" si="0"/>
        <v>相良 水</v>
      </c>
      <c r="F7" s="16" t="str">
        <f t="shared" si="0"/>
        <v>相良 木</v>
      </c>
      <c r="G7" s="16" t="str">
        <f t="shared" si="0"/>
        <v>相良 金</v>
      </c>
      <c r="H7" s="16" t="str">
        <f t="shared" si="0"/>
        <v>相良 土</v>
      </c>
      <c r="I7" s="16" t="str">
        <f t="shared" si="0"/>
        <v>相良 日</v>
      </c>
    </row>
    <row r="8" spans="1:9">
      <c r="A8" s="96" t="s">
        <v>85</v>
      </c>
      <c r="C8" s="16" t="str">
        <f t="shared" si="1"/>
        <v>北原 月</v>
      </c>
      <c r="D8" s="16" t="str">
        <f t="shared" si="0"/>
        <v>北原 火</v>
      </c>
      <c r="E8" s="16" t="str">
        <f t="shared" si="0"/>
        <v>北原 水</v>
      </c>
      <c r="F8" s="16" t="str">
        <f t="shared" si="0"/>
        <v>北原 木</v>
      </c>
      <c r="G8" s="16" t="str">
        <f t="shared" si="0"/>
        <v>北原 金</v>
      </c>
      <c r="H8" s="16" t="str">
        <f t="shared" si="0"/>
        <v>北原 土</v>
      </c>
      <c r="I8" s="16" t="str">
        <f t="shared" si="0"/>
        <v>北原 日</v>
      </c>
    </row>
    <row r="9" spans="1:9">
      <c r="A9" s="96" t="s">
        <v>84</v>
      </c>
      <c r="C9" s="16" t="str">
        <f t="shared" si="1"/>
        <v>二瓶 月</v>
      </c>
      <c r="D9" s="16" t="str">
        <f t="shared" si="0"/>
        <v>二瓶 火</v>
      </c>
      <c r="E9" s="16" t="str">
        <f t="shared" si="0"/>
        <v>二瓶 水</v>
      </c>
      <c r="F9" s="16" t="str">
        <f t="shared" si="0"/>
        <v>二瓶 木</v>
      </c>
      <c r="G9" s="16" t="str">
        <f t="shared" si="0"/>
        <v>二瓶 金</v>
      </c>
      <c r="H9" s="16" t="str">
        <f t="shared" si="0"/>
        <v>二瓶 土</v>
      </c>
      <c r="I9" s="16" t="str">
        <f t="shared" si="0"/>
        <v>二瓶 日</v>
      </c>
    </row>
    <row r="10" spans="1:9">
      <c r="A10" s="96" t="s">
        <v>83</v>
      </c>
      <c r="C10" s="16" t="str">
        <f t="shared" si="1"/>
        <v>神谷 月</v>
      </c>
      <c r="D10" s="16" t="str">
        <f t="shared" si="0"/>
        <v>神谷 火</v>
      </c>
      <c r="E10" s="16" t="str">
        <f t="shared" si="0"/>
        <v>神谷 水</v>
      </c>
      <c r="F10" s="16" t="str">
        <f t="shared" si="0"/>
        <v>神谷 木</v>
      </c>
      <c r="G10" s="16" t="str">
        <f t="shared" si="0"/>
        <v>神谷 金</v>
      </c>
      <c r="H10" s="16" t="str">
        <f t="shared" si="0"/>
        <v>神谷 土</v>
      </c>
      <c r="I10" s="16" t="str">
        <f t="shared" si="0"/>
        <v>神谷 日</v>
      </c>
    </row>
    <row r="11" spans="1:9">
      <c r="A11" s="96" t="s">
        <v>82</v>
      </c>
      <c r="C11" s="16" t="str">
        <f t="shared" si="1"/>
        <v>三上 月</v>
      </c>
      <c r="D11" s="16" t="str">
        <f t="shared" si="0"/>
        <v>三上 火</v>
      </c>
      <c r="E11" s="16" t="str">
        <f t="shared" si="0"/>
        <v>三上 水</v>
      </c>
      <c r="F11" s="16" t="str">
        <f t="shared" si="0"/>
        <v>三上 木</v>
      </c>
      <c r="G11" s="16" t="str">
        <f t="shared" si="0"/>
        <v>三上 金</v>
      </c>
      <c r="H11" s="16" t="str">
        <f t="shared" si="0"/>
        <v>三上 土</v>
      </c>
      <c r="I11" s="16" t="str">
        <f t="shared" si="0"/>
        <v>三上 日</v>
      </c>
    </row>
    <row r="12" spans="1:9">
      <c r="A12" s="96" t="s">
        <v>81</v>
      </c>
      <c r="C12" s="16" t="str">
        <f t="shared" si="1"/>
        <v>五味 月</v>
      </c>
      <c r="D12" s="16" t="str">
        <f t="shared" si="0"/>
        <v>五味 火</v>
      </c>
      <c r="E12" s="16" t="str">
        <f t="shared" si="0"/>
        <v>五味 水</v>
      </c>
      <c r="F12" s="16" t="str">
        <f t="shared" si="0"/>
        <v>五味 木</v>
      </c>
      <c r="G12" s="16" t="str">
        <f t="shared" si="0"/>
        <v>五味 金</v>
      </c>
      <c r="H12" s="16" t="str">
        <f t="shared" si="0"/>
        <v>五味 土</v>
      </c>
      <c r="I12" s="16" t="str">
        <f t="shared" si="0"/>
        <v>五味 日</v>
      </c>
    </row>
    <row r="13" spans="1:9">
      <c r="A13" s="96" t="s">
        <v>80</v>
      </c>
      <c r="C13" s="16" t="str">
        <f t="shared" si="1"/>
        <v>片野 月</v>
      </c>
      <c r="D13" s="16" t="str">
        <f t="shared" si="0"/>
        <v>片野 火</v>
      </c>
      <c r="E13" s="16" t="str">
        <f t="shared" si="0"/>
        <v>片野 水</v>
      </c>
      <c r="F13" s="16" t="str">
        <f t="shared" si="0"/>
        <v>片野 木</v>
      </c>
      <c r="G13" s="16" t="str">
        <f t="shared" si="0"/>
        <v>片野 金</v>
      </c>
      <c r="H13" s="16" t="str">
        <f t="shared" si="0"/>
        <v>片野 土</v>
      </c>
      <c r="I13" s="16" t="str">
        <f t="shared" si="0"/>
        <v>片野 日</v>
      </c>
    </row>
    <row r="14" spans="1:9">
      <c r="A14" s="96" t="s">
        <v>79</v>
      </c>
      <c r="C14" s="16" t="str">
        <f t="shared" si="1"/>
        <v>菅原 月</v>
      </c>
      <c r="D14" s="16" t="str">
        <f t="shared" si="0"/>
        <v>菅原 火</v>
      </c>
      <c r="E14" s="16" t="str">
        <f t="shared" si="0"/>
        <v>菅原 水</v>
      </c>
      <c r="F14" s="16" t="str">
        <f t="shared" si="0"/>
        <v>菅原 木</v>
      </c>
      <c r="G14" s="16" t="str">
        <f t="shared" si="0"/>
        <v>菅原 金</v>
      </c>
      <c r="H14" s="16" t="str">
        <f t="shared" si="0"/>
        <v>菅原 土</v>
      </c>
      <c r="I14" s="16" t="str">
        <f t="shared" si="0"/>
        <v>菅原 日</v>
      </c>
    </row>
    <row r="15" spans="1:9">
      <c r="A15" s="96" t="s">
        <v>32</v>
      </c>
      <c r="C15" s="16" t="str">
        <f t="shared" si="1"/>
        <v>河崎 月</v>
      </c>
      <c r="D15" s="16" t="str">
        <f t="shared" si="0"/>
        <v>河崎 火</v>
      </c>
      <c r="E15" s="16" t="str">
        <f t="shared" si="0"/>
        <v>河崎 水</v>
      </c>
      <c r="F15" s="16" t="str">
        <f t="shared" si="0"/>
        <v>河崎 木</v>
      </c>
      <c r="G15" s="16" t="str">
        <f t="shared" si="0"/>
        <v>河崎 金</v>
      </c>
      <c r="H15" s="16" t="str">
        <f t="shared" si="0"/>
        <v>河崎 土</v>
      </c>
      <c r="I15" s="16" t="str">
        <f t="shared" si="0"/>
        <v>河崎 日</v>
      </c>
    </row>
    <row r="16" spans="1:9">
      <c r="A16" s="96" t="s">
        <v>78</v>
      </c>
      <c r="C16" s="16" t="str">
        <f t="shared" si="1"/>
        <v>長沼 月</v>
      </c>
      <c r="D16" s="16" t="str">
        <f t="shared" si="0"/>
        <v>長沼 火</v>
      </c>
      <c r="E16" s="16" t="str">
        <f t="shared" si="0"/>
        <v>長沼 水</v>
      </c>
      <c r="F16" s="16" t="str">
        <f t="shared" si="0"/>
        <v>長沼 木</v>
      </c>
      <c r="G16" s="16" t="str">
        <f t="shared" si="0"/>
        <v>長沼 金</v>
      </c>
      <c r="H16" s="16" t="str">
        <f t="shared" si="0"/>
        <v>長沼 土</v>
      </c>
      <c r="I16" s="16" t="str">
        <f t="shared" si="0"/>
        <v>長沼 日</v>
      </c>
    </row>
    <row r="17" spans="1:9">
      <c r="A17" s="96" t="s">
        <v>77</v>
      </c>
      <c r="C17" s="16" t="str">
        <f t="shared" si="1"/>
        <v>西脇 月</v>
      </c>
      <c r="D17" s="16" t="str">
        <f t="shared" si="0"/>
        <v>西脇 火</v>
      </c>
      <c r="E17" s="16" t="str">
        <f t="shared" si="0"/>
        <v>西脇 水</v>
      </c>
      <c r="F17" s="16" t="str">
        <f t="shared" si="0"/>
        <v>西脇 木</v>
      </c>
      <c r="G17" s="16" t="str">
        <f t="shared" si="0"/>
        <v>西脇 金</v>
      </c>
      <c r="H17" s="16" t="str">
        <f t="shared" si="0"/>
        <v>西脇 土</v>
      </c>
      <c r="I17" s="16" t="str">
        <f t="shared" si="0"/>
        <v>西脇 日</v>
      </c>
    </row>
    <row r="18" spans="1:9">
      <c r="A18" s="96" t="s">
        <v>76</v>
      </c>
      <c r="C18" s="16" t="str">
        <f t="shared" si="1"/>
        <v>富田 月</v>
      </c>
      <c r="D18" s="16" t="str">
        <f t="shared" si="1"/>
        <v>富田 火</v>
      </c>
      <c r="E18" s="16" t="str">
        <f t="shared" si="1"/>
        <v>富田 水</v>
      </c>
      <c r="F18" s="16" t="str">
        <f t="shared" si="1"/>
        <v>富田 木</v>
      </c>
      <c r="G18" s="16" t="str">
        <f t="shared" si="1"/>
        <v>富田 金</v>
      </c>
      <c r="H18" s="16" t="str">
        <f t="shared" si="1"/>
        <v>富田 土</v>
      </c>
      <c r="I18" s="16" t="str">
        <f t="shared" si="1"/>
        <v>富田 日</v>
      </c>
    </row>
    <row r="19" spans="1:9">
      <c r="A19" s="96" t="s">
        <v>75</v>
      </c>
      <c r="C19" s="16" t="str">
        <f t="shared" si="1"/>
        <v>土橋 月</v>
      </c>
      <c r="D19" s="16" t="str">
        <f t="shared" si="1"/>
        <v>土橋 火</v>
      </c>
      <c r="E19" s="16" t="str">
        <f t="shared" si="1"/>
        <v>土橋 水</v>
      </c>
      <c r="F19" s="16" t="str">
        <f t="shared" si="1"/>
        <v>土橋 木</v>
      </c>
      <c r="G19" s="16" t="str">
        <f t="shared" si="1"/>
        <v>土橋 金</v>
      </c>
      <c r="H19" s="16" t="str">
        <f t="shared" si="1"/>
        <v>土橋 土</v>
      </c>
      <c r="I19" s="16" t="str">
        <f t="shared" si="1"/>
        <v>土橋 日</v>
      </c>
    </row>
    <row r="20" spans="1:9">
      <c r="A20" s="96" t="s">
        <v>74</v>
      </c>
      <c r="C20" s="16" t="str">
        <f t="shared" si="1"/>
        <v>原 月</v>
      </c>
      <c r="D20" s="16" t="str">
        <f t="shared" si="1"/>
        <v>原 火</v>
      </c>
      <c r="E20" s="16" t="str">
        <f t="shared" si="1"/>
        <v>原 水</v>
      </c>
      <c r="F20" s="16" t="str">
        <f t="shared" si="1"/>
        <v>原 木</v>
      </c>
      <c r="G20" s="16" t="str">
        <f t="shared" si="1"/>
        <v>原 金</v>
      </c>
      <c r="H20" s="16" t="str">
        <f t="shared" si="1"/>
        <v>原 土</v>
      </c>
      <c r="I20" s="16" t="str">
        <f t="shared" si="1"/>
        <v>原 日</v>
      </c>
    </row>
    <row r="21" spans="1:9">
      <c r="A21" s="96" t="s">
        <v>73</v>
      </c>
      <c r="C21" s="16" t="str">
        <f t="shared" si="1"/>
        <v>米田 月</v>
      </c>
      <c r="D21" s="16" t="str">
        <f t="shared" si="1"/>
        <v>米田 火</v>
      </c>
      <c r="E21" s="16" t="str">
        <f t="shared" si="1"/>
        <v>米田 水</v>
      </c>
      <c r="F21" s="16" t="str">
        <f t="shared" si="1"/>
        <v>米田 木</v>
      </c>
      <c r="G21" s="16" t="str">
        <f t="shared" si="1"/>
        <v>米田 金</v>
      </c>
      <c r="H21" s="16" t="str">
        <f t="shared" si="1"/>
        <v>米田 土</v>
      </c>
      <c r="I21" s="16" t="str">
        <f t="shared" si="1"/>
        <v>米田 日</v>
      </c>
    </row>
    <row r="22" spans="1:9">
      <c r="A22" s="96" t="s">
        <v>72</v>
      </c>
      <c r="C22" s="16" t="str">
        <f t="shared" si="1"/>
        <v>藤田 月</v>
      </c>
      <c r="D22" s="16" t="str">
        <f t="shared" si="1"/>
        <v>藤田 火</v>
      </c>
      <c r="E22" s="16" t="str">
        <f t="shared" si="1"/>
        <v>藤田 水</v>
      </c>
      <c r="F22" s="16" t="str">
        <f t="shared" si="1"/>
        <v>藤田 木</v>
      </c>
      <c r="G22" s="16" t="str">
        <f t="shared" si="1"/>
        <v>藤田 金</v>
      </c>
      <c r="H22" s="16" t="str">
        <f t="shared" si="1"/>
        <v>藤田 土</v>
      </c>
      <c r="I22" s="16" t="str">
        <f t="shared" si="1"/>
        <v>藤田 日</v>
      </c>
    </row>
    <row r="23" spans="1:9">
      <c r="A23" s="96" t="s">
        <v>71</v>
      </c>
      <c r="C23" s="16" t="str">
        <f t="shared" si="1"/>
        <v>東野 月</v>
      </c>
      <c r="D23" s="16" t="str">
        <f t="shared" si="1"/>
        <v>東野 火</v>
      </c>
      <c r="E23" s="16" t="str">
        <f t="shared" si="1"/>
        <v>東野 水</v>
      </c>
      <c r="F23" s="16" t="str">
        <f t="shared" si="1"/>
        <v>東野 木</v>
      </c>
      <c r="G23" s="16" t="str">
        <f t="shared" si="1"/>
        <v>東野 金</v>
      </c>
      <c r="H23" s="16" t="str">
        <f t="shared" si="1"/>
        <v>東野 土</v>
      </c>
      <c r="I23" s="16" t="str">
        <f t="shared" si="1"/>
        <v>東野 日</v>
      </c>
    </row>
    <row r="24" spans="1:9">
      <c r="A24" s="96" t="s">
        <v>70</v>
      </c>
      <c r="C24" s="16" t="str">
        <f t="shared" si="1"/>
        <v>荒井 月</v>
      </c>
      <c r="D24" s="16" t="str">
        <f t="shared" si="1"/>
        <v>荒井 火</v>
      </c>
      <c r="E24" s="16" t="str">
        <f t="shared" si="1"/>
        <v>荒井 水</v>
      </c>
      <c r="F24" s="16" t="str">
        <f t="shared" si="1"/>
        <v>荒井 木</v>
      </c>
      <c r="G24" s="16" t="str">
        <f t="shared" si="1"/>
        <v>荒井 金</v>
      </c>
      <c r="H24" s="16" t="str">
        <f t="shared" si="1"/>
        <v>荒井 土</v>
      </c>
      <c r="I24" s="16" t="str">
        <f t="shared" si="1"/>
        <v>荒井 日</v>
      </c>
    </row>
    <row r="25" spans="1:9">
      <c r="A25" s="96" t="s">
        <v>28</v>
      </c>
      <c r="C25" s="16" t="str">
        <f t="shared" si="1"/>
        <v>丹羽 月</v>
      </c>
      <c r="D25" s="16" t="str">
        <f t="shared" si="1"/>
        <v>丹羽 火</v>
      </c>
      <c r="E25" s="16" t="str">
        <f t="shared" si="1"/>
        <v>丹羽 水</v>
      </c>
      <c r="F25" s="16" t="str">
        <f t="shared" si="1"/>
        <v>丹羽 木</v>
      </c>
      <c r="G25" s="16" t="str">
        <f t="shared" si="1"/>
        <v>丹羽 金</v>
      </c>
      <c r="H25" s="16" t="str">
        <f t="shared" si="1"/>
        <v>丹羽 土</v>
      </c>
      <c r="I25" s="16" t="str">
        <f t="shared" si="1"/>
        <v>丹羽 日</v>
      </c>
    </row>
    <row r="26" spans="1:9">
      <c r="A26" s="96" t="s">
        <v>32</v>
      </c>
      <c r="C26" s="16" t="str">
        <f t="shared" si="1"/>
        <v>河崎 月</v>
      </c>
      <c r="D26" s="16" t="str">
        <f t="shared" si="1"/>
        <v>河崎 火</v>
      </c>
      <c r="E26" s="16" t="str">
        <f t="shared" si="1"/>
        <v>河崎 水</v>
      </c>
      <c r="F26" s="16" t="str">
        <f t="shared" si="1"/>
        <v>河崎 木</v>
      </c>
      <c r="G26" s="16" t="str">
        <f t="shared" si="1"/>
        <v>河崎 金</v>
      </c>
      <c r="H26" s="16" t="str">
        <f t="shared" si="1"/>
        <v>河崎 土</v>
      </c>
      <c r="I26" s="16" t="str">
        <f t="shared" si="1"/>
        <v>河崎 日</v>
      </c>
    </row>
    <row r="27" spans="1:9">
      <c r="A27" s="96" t="s">
        <v>69</v>
      </c>
      <c r="C27" s="16" t="str">
        <f t="shared" si="1"/>
        <v>門脇 月</v>
      </c>
      <c r="D27" s="16" t="str">
        <f t="shared" si="1"/>
        <v>門脇 火</v>
      </c>
      <c r="E27" s="16" t="str">
        <f t="shared" si="1"/>
        <v>門脇 水</v>
      </c>
      <c r="F27" s="16" t="str">
        <f t="shared" si="1"/>
        <v>門脇 木</v>
      </c>
      <c r="G27" s="16" t="str">
        <f t="shared" si="1"/>
        <v>門脇 金</v>
      </c>
      <c r="H27" s="16" t="str">
        <f t="shared" si="1"/>
        <v>門脇 土</v>
      </c>
      <c r="I27" s="16" t="str">
        <f t="shared" si="1"/>
        <v>門脇 日</v>
      </c>
    </row>
    <row r="28" spans="1:9">
      <c r="A28" s="96" t="s">
        <v>68</v>
      </c>
      <c r="C28" s="16" t="str">
        <f t="shared" si="1"/>
        <v>赤井 月</v>
      </c>
      <c r="D28" s="16" t="str">
        <f t="shared" si="1"/>
        <v>赤井 火</v>
      </c>
      <c r="E28" s="16" t="str">
        <f t="shared" si="1"/>
        <v>赤井 水</v>
      </c>
      <c r="F28" s="16" t="str">
        <f t="shared" si="1"/>
        <v>赤井 木</v>
      </c>
      <c r="G28" s="16" t="str">
        <f t="shared" si="1"/>
        <v>赤井 金</v>
      </c>
      <c r="H28" s="16" t="str">
        <f t="shared" si="1"/>
        <v>赤井 土</v>
      </c>
      <c r="I28" s="16" t="str">
        <f t="shared" si="1"/>
        <v>赤井 日</v>
      </c>
    </row>
    <row r="29" spans="1:9">
      <c r="A29" s="96" t="s">
        <v>67</v>
      </c>
      <c r="C29" s="16" t="str">
        <f t="shared" si="1"/>
        <v>太田 月</v>
      </c>
      <c r="D29" s="16" t="str">
        <f t="shared" si="1"/>
        <v>太田 火</v>
      </c>
      <c r="E29" s="16" t="str">
        <f t="shared" si="1"/>
        <v>太田 水</v>
      </c>
      <c r="F29" s="16" t="str">
        <f t="shared" si="1"/>
        <v>太田 木</v>
      </c>
      <c r="G29" s="16" t="str">
        <f t="shared" si="1"/>
        <v>太田 金</v>
      </c>
      <c r="H29" s="16" t="str">
        <f t="shared" si="1"/>
        <v>太田 土</v>
      </c>
      <c r="I29" s="16" t="str">
        <f t="shared" si="1"/>
        <v>太田 日</v>
      </c>
    </row>
    <row r="30" spans="1:9">
      <c r="A30" s="96" t="s">
        <v>66</v>
      </c>
      <c r="C30" s="16" t="str">
        <f t="shared" si="1"/>
        <v>河野 月</v>
      </c>
      <c r="D30" s="16" t="str">
        <f t="shared" si="1"/>
        <v>河野 火</v>
      </c>
      <c r="E30" s="16" t="str">
        <f t="shared" si="1"/>
        <v>河野 水</v>
      </c>
      <c r="F30" s="16" t="str">
        <f t="shared" si="1"/>
        <v>河野 木</v>
      </c>
      <c r="G30" s="16" t="str">
        <f t="shared" si="1"/>
        <v>河野 金</v>
      </c>
      <c r="H30" s="16" t="str">
        <f t="shared" si="1"/>
        <v>河野 土</v>
      </c>
      <c r="I30" s="16" t="str">
        <f t="shared" si="1"/>
        <v>河野 日</v>
      </c>
    </row>
    <row r="31" spans="1:9">
      <c r="A31" s="96" t="s">
        <v>45</v>
      </c>
      <c r="C31" s="16" t="str">
        <f t="shared" si="1"/>
        <v>井本 月</v>
      </c>
      <c r="D31" s="16" t="str">
        <f t="shared" si="1"/>
        <v>井本 火</v>
      </c>
      <c r="E31" s="16" t="str">
        <f t="shared" si="1"/>
        <v>井本 水</v>
      </c>
      <c r="F31" s="16" t="str">
        <f t="shared" si="1"/>
        <v>井本 木</v>
      </c>
      <c r="G31" s="16" t="str">
        <f t="shared" si="1"/>
        <v>井本 金</v>
      </c>
      <c r="H31" s="16" t="str">
        <f t="shared" si="1"/>
        <v>井本 土</v>
      </c>
      <c r="I31" s="16" t="str">
        <f t="shared" si="1"/>
        <v>井本 日</v>
      </c>
    </row>
    <row r="32" spans="1:9">
      <c r="A32" s="96" t="s">
        <v>65</v>
      </c>
      <c r="C32" s="16" t="str">
        <f t="shared" si="1"/>
        <v>那須 月</v>
      </c>
      <c r="D32" s="16" t="str">
        <f t="shared" si="1"/>
        <v>那須 火</v>
      </c>
      <c r="E32" s="16" t="str">
        <f t="shared" si="1"/>
        <v>那須 水</v>
      </c>
      <c r="F32" s="16" t="str">
        <f t="shared" si="1"/>
        <v>那須 木</v>
      </c>
      <c r="G32" s="16" t="str">
        <f t="shared" si="1"/>
        <v>那須 金</v>
      </c>
      <c r="H32" s="16" t="str">
        <f t="shared" si="1"/>
        <v>那須 土</v>
      </c>
      <c r="I32" s="16" t="str">
        <f t="shared" si="1"/>
        <v>那須 日</v>
      </c>
    </row>
    <row r="33" spans="1:9">
      <c r="A33" s="96" t="s">
        <v>64</v>
      </c>
      <c r="C33" s="16" t="str">
        <f t="shared" si="1"/>
        <v>藤村 月</v>
      </c>
      <c r="D33" s="16" t="str">
        <f t="shared" si="1"/>
        <v>藤村 火</v>
      </c>
      <c r="E33" s="16" t="str">
        <f t="shared" si="1"/>
        <v>藤村 水</v>
      </c>
      <c r="F33" s="16" t="str">
        <f t="shared" si="1"/>
        <v>藤村 木</v>
      </c>
      <c r="G33" s="16" t="str">
        <f t="shared" si="1"/>
        <v>藤村 金</v>
      </c>
      <c r="H33" s="16" t="str">
        <f t="shared" si="1"/>
        <v>藤村 土</v>
      </c>
      <c r="I33" s="16" t="str">
        <f t="shared" si="1"/>
        <v>藤村 日</v>
      </c>
    </row>
    <row r="34" spans="1:9">
      <c r="A34" s="96" t="s">
        <v>63</v>
      </c>
      <c r="C34" s="16" t="str">
        <f t="shared" si="1"/>
        <v>森岡 月</v>
      </c>
      <c r="D34" s="16" t="str">
        <f t="shared" si="1"/>
        <v>森岡 火</v>
      </c>
      <c r="E34" s="16" t="str">
        <f t="shared" si="1"/>
        <v>森岡 水</v>
      </c>
      <c r="F34" s="16" t="str">
        <f t="shared" si="1"/>
        <v>森岡 木</v>
      </c>
      <c r="G34" s="16" t="str">
        <f t="shared" si="1"/>
        <v>森岡 金</v>
      </c>
      <c r="H34" s="16" t="str">
        <f t="shared" si="1"/>
        <v>森岡 土</v>
      </c>
      <c r="I34" s="16" t="str">
        <f t="shared" si="1"/>
        <v>森岡 日</v>
      </c>
    </row>
    <row r="35" spans="1:9">
      <c r="A35" s="96" t="s">
        <v>62</v>
      </c>
      <c r="C35" s="16" t="str">
        <f t="shared" si="1"/>
        <v>福地 月</v>
      </c>
      <c r="D35" s="16" t="str">
        <f t="shared" si="1"/>
        <v>福地 火</v>
      </c>
      <c r="E35" s="16" t="str">
        <f t="shared" si="1"/>
        <v>福地 水</v>
      </c>
      <c r="F35" s="16" t="str">
        <f t="shared" si="1"/>
        <v>福地 木</v>
      </c>
      <c r="G35" s="16" t="str">
        <f t="shared" si="1"/>
        <v>福地 金</v>
      </c>
      <c r="H35" s="16" t="str">
        <f t="shared" si="1"/>
        <v>福地 土</v>
      </c>
      <c r="I35" s="16" t="str">
        <f t="shared" si="1"/>
        <v>福地 日</v>
      </c>
    </row>
    <row r="36" spans="1:9">
      <c r="A36" s="96" t="s">
        <v>61</v>
      </c>
      <c r="C36" s="16" t="str">
        <f t="shared" si="1"/>
        <v>上野 月</v>
      </c>
      <c r="D36" s="16" t="str">
        <f t="shared" si="1"/>
        <v>上野 火</v>
      </c>
      <c r="E36" s="16" t="str">
        <f t="shared" si="1"/>
        <v>上野 水</v>
      </c>
      <c r="F36" s="16" t="str">
        <f t="shared" si="1"/>
        <v>上野 木</v>
      </c>
      <c r="G36" s="16" t="str">
        <f t="shared" si="1"/>
        <v>上野 金</v>
      </c>
      <c r="H36" s="16" t="str">
        <f t="shared" si="1"/>
        <v>上野 土</v>
      </c>
      <c r="I36" s="16" t="str">
        <f t="shared" si="1"/>
        <v>上野 日</v>
      </c>
    </row>
    <row r="37" spans="1:9">
      <c r="A37" s="96" t="s">
        <v>60</v>
      </c>
      <c r="C37" s="16" t="str">
        <f t="shared" si="1"/>
        <v>稲田 月</v>
      </c>
      <c r="D37" s="16" t="str">
        <f t="shared" si="1"/>
        <v>稲田 火</v>
      </c>
      <c r="E37" s="16" t="str">
        <f t="shared" si="1"/>
        <v>稲田 水</v>
      </c>
      <c r="F37" s="16" t="str">
        <f t="shared" si="1"/>
        <v>稲田 木</v>
      </c>
      <c r="G37" s="16" t="str">
        <f t="shared" si="1"/>
        <v>稲田 金</v>
      </c>
      <c r="H37" s="16" t="str">
        <f t="shared" si="1"/>
        <v>稲田 土</v>
      </c>
      <c r="I37" s="16" t="str">
        <f t="shared" si="1"/>
        <v>稲田 日</v>
      </c>
    </row>
    <row r="38" spans="1:9">
      <c r="A38" s="96" t="s">
        <v>59</v>
      </c>
      <c r="C38" s="16" t="str">
        <f t="shared" si="1"/>
        <v>小菅 月</v>
      </c>
      <c r="D38" s="16" t="str">
        <f t="shared" si="1"/>
        <v>小菅 火</v>
      </c>
      <c r="E38" s="16" t="str">
        <f t="shared" si="1"/>
        <v>小菅 水</v>
      </c>
      <c r="F38" s="16" t="str">
        <f t="shared" si="1"/>
        <v>小菅 木</v>
      </c>
      <c r="G38" s="16" t="str">
        <f t="shared" si="1"/>
        <v>小菅 金</v>
      </c>
      <c r="H38" s="16" t="str">
        <f t="shared" si="1"/>
        <v>小菅 土</v>
      </c>
      <c r="I38" s="16" t="str">
        <f t="shared" si="1"/>
        <v>小菅 日</v>
      </c>
    </row>
    <row r="39" spans="1:9">
      <c r="A39" s="96" t="s">
        <v>58</v>
      </c>
      <c r="C39" s="16" t="str">
        <f t="shared" si="1"/>
        <v>浅川 月</v>
      </c>
      <c r="D39" s="16" t="str">
        <f t="shared" si="1"/>
        <v>浅川 火</v>
      </c>
      <c r="E39" s="16" t="str">
        <f t="shared" si="1"/>
        <v>浅川 水</v>
      </c>
      <c r="F39" s="16" t="str">
        <f t="shared" si="1"/>
        <v>浅川 木</v>
      </c>
      <c r="G39" s="16" t="str">
        <f t="shared" si="1"/>
        <v>浅川 金</v>
      </c>
      <c r="H39" s="16" t="str">
        <f t="shared" si="1"/>
        <v>浅川 土</v>
      </c>
      <c r="I39" s="16" t="str">
        <f t="shared" si="1"/>
        <v>浅川 日</v>
      </c>
    </row>
    <row r="40" spans="1:9">
      <c r="A40" s="96" t="s">
        <v>57</v>
      </c>
      <c r="C40" s="16" t="str">
        <f t="shared" si="1"/>
        <v>熊田 月</v>
      </c>
      <c r="D40" s="16" t="str">
        <f t="shared" si="1"/>
        <v>熊田 火</v>
      </c>
      <c r="E40" s="16" t="str">
        <f t="shared" si="1"/>
        <v>熊田 水</v>
      </c>
      <c r="F40" s="16" t="str">
        <f t="shared" si="1"/>
        <v>熊田 木</v>
      </c>
      <c r="G40" s="16" t="str">
        <f t="shared" si="1"/>
        <v>熊田 金</v>
      </c>
      <c r="H40" s="16" t="str">
        <f t="shared" si="1"/>
        <v>熊田 土</v>
      </c>
      <c r="I40" s="16" t="str">
        <f t="shared" si="1"/>
        <v>熊田 日</v>
      </c>
    </row>
    <row r="41" spans="1:9">
      <c r="A41" s="96" t="s">
        <v>56</v>
      </c>
      <c r="C41" s="16" t="str">
        <f t="shared" si="1"/>
        <v>服部 月</v>
      </c>
      <c r="D41" s="16" t="str">
        <f t="shared" si="1"/>
        <v>服部 火</v>
      </c>
      <c r="E41" s="16" t="str">
        <f t="shared" si="1"/>
        <v>服部 水</v>
      </c>
      <c r="F41" s="16" t="str">
        <f t="shared" si="1"/>
        <v>服部 木</v>
      </c>
      <c r="G41" s="16" t="str">
        <f t="shared" si="1"/>
        <v>服部 金</v>
      </c>
      <c r="H41" s="16" t="str">
        <f t="shared" si="1"/>
        <v>服部 土</v>
      </c>
      <c r="I41" s="16" t="str">
        <f t="shared" si="1"/>
        <v>服部 日</v>
      </c>
    </row>
    <row r="42" spans="1:9">
      <c r="A42" s="96" t="s">
        <v>55</v>
      </c>
      <c r="C42" s="16" t="str">
        <f t="shared" si="1"/>
        <v>田淵 月</v>
      </c>
      <c r="D42" s="16" t="str">
        <f t="shared" si="1"/>
        <v>田淵 火</v>
      </c>
      <c r="E42" s="16" t="str">
        <f t="shared" si="1"/>
        <v>田淵 水</v>
      </c>
      <c r="F42" s="16" t="str">
        <f t="shared" si="1"/>
        <v>田淵 木</v>
      </c>
      <c r="G42" s="16" t="str">
        <f t="shared" si="1"/>
        <v>田淵 金</v>
      </c>
      <c r="H42" s="16" t="str">
        <f t="shared" si="1"/>
        <v>田淵 土</v>
      </c>
      <c r="I42" s="16" t="str">
        <f t="shared" si="1"/>
        <v>田淵 日</v>
      </c>
    </row>
    <row r="43" spans="1:9">
      <c r="A43" s="96" t="s">
        <v>54</v>
      </c>
      <c r="C43" s="16" t="str">
        <f t="shared" si="1"/>
        <v>飯野 月</v>
      </c>
      <c r="D43" s="16" t="str">
        <f t="shared" si="1"/>
        <v>飯野 火</v>
      </c>
      <c r="E43" s="16" t="str">
        <f t="shared" si="1"/>
        <v>飯野 水</v>
      </c>
      <c r="F43" s="16" t="str">
        <f t="shared" si="1"/>
        <v>飯野 木</v>
      </c>
      <c r="G43" s="16" t="str">
        <f t="shared" si="1"/>
        <v>飯野 金</v>
      </c>
      <c r="H43" s="16" t="str">
        <f t="shared" si="1"/>
        <v>飯野 土</v>
      </c>
      <c r="I43" s="16" t="str">
        <f t="shared" si="1"/>
        <v>飯野 日</v>
      </c>
    </row>
    <row r="44" spans="1:9">
      <c r="A44" s="96" t="s">
        <v>53</v>
      </c>
      <c r="C44" s="16" t="str">
        <f t="shared" si="1"/>
        <v>白鳥 月</v>
      </c>
      <c r="D44" s="16" t="str">
        <f t="shared" si="1"/>
        <v>白鳥 火</v>
      </c>
      <c r="E44" s="16" t="str">
        <f t="shared" si="1"/>
        <v>白鳥 水</v>
      </c>
      <c r="F44" s="16" t="str">
        <f t="shared" si="1"/>
        <v>白鳥 木</v>
      </c>
      <c r="G44" s="16" t="str">
        <f t="shared" si="1"/>
        <v>白鳥 金</v>
      </c>
      <c r="H44" s="16" t="str">
        <f t="shared" si="1"/>
        <v>白鳥 土</v>
      </c>
      <c r="I44" s="16" t="str">
        <f t="shared" si="1"/>
        <v>白鳥 日</v>
      </c>
    </row>
    <row r="45" spans="1:9">
      <c r="A45" s="96"/>
    </row>
  </sheetData>
  <phoneticPr fontId="1"/>
  <pageMargins left="0.75" right="0.75" top="1" bottom="1" header="0.5" footer="0.5"/>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Sheet1</vt:lpstr>
      <vt:lpstr>Sheet2</vt:lpstr>
      <vt:lpstr>データ処理部</vt:lpstr>
      <vt:lpstr>db</vt:lpstr>
      <vt:lpstr>エラー訂正部</vt:lpstr>
      <vt:lpstr>デバッグ用データ</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松井直哉</dc:creator>
  <cp:lastModifiedBy>松井直哉</cp:lastModifiedBy>
  <cp:lastPrinted>2021-02-17T03:46:08Z</cp:lastPrinted>
  <dcterms:created xsi:type="dcterms:W3CDTF">2021-02-06T06:38:26Z</dcterms:created>
  <dcterms:modified xsi:type="dcterms:W3CDTF">2022-05-06T05:56:33Z</dcterms:modified>
</cp:coreProperties>
</file>